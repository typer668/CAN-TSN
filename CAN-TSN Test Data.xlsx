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19046\Desktop\"/>
    </mc:Choice>
  </mc:AlternateContent>
  <xr:revisionPtr revIDLastSave="0" documentId="13_ncr:1_{60DCB328-FDB4-4637-8F30-BA94CAE3ADE1}" xr6:coauthVersionLast="47" xr6:coauthVersionMax="47" xr10:uidLastSave="{00000000-0000-0000-0000-000000000000}"/>
  <bookViews>
    <workbookView xWindow="-110" yWindow="-110" windowWidth="19420" windowHeight="10300" xr2:uid="{0AE8266D-8C21-435D-A201-9E682DD1751F}"/>
  </bookViews>
  <sheets>
    <sheet name="Dataset(merged)" sheetId="7" r:id="rId1"/>
    <sheet name="CAN1-500K" sheetId="2" r:id="rId2"/>
    <sheet name="CAN2-2M" sheetId="4" r:id="rId3"/>
    <sheet name="CAN3-2M" sheetId="6" r:id="rId4"/>
    <sheet name="CAN4-5M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2" i="7" l="1"/>
  <c r="B252" i="7"/>
  <c r="G251" i="7"/>
  <c r="B251" i="7"/>
  <c r="G250" i="7"/>
  <c r="B250" i="7"/>
  <c r="G249" i="7"/>
  <c r="B249" i="7"/>
  <c r="G248" i="7"/>
  <c r="B248" i="7"/>
  <c r="G247" i="7"/>
  <c r="B247" i="7"/>
  <c r="G246" i="7"/>
  <c r="B246" i="7"/>
  <c r="G245" i="7"/>
  <c r="B245" i="7"/>
  <c r="G244" i="7"/>
  <c r="B244" i="7"/>
  <c r="G243" i="7"/>
  <c r="B243" i="7"/>
  <c r="G242" i="7"/>
  <c r="B242" i="7"/>
  <c r="G241" i="7"/>
  <c r="B241" i="7"/>
  <c r="G240" i="7"/>
  <c r="B240" i="7"/>
  <c r="G239" i="7"/>
  <c r="B239" i="7"/>
  <c r="G238" i="7"/>
  <c r="B238" i="7"/>
  <c r="G237" i="7"/>
  <c r="B237" i="7"/>
  <c r="G236" i="7"/>
  <c r="B236" i="7"/>
  <c r="G235" i="7"/>
  <c r="B235" i="7"/>
  <c r="G234" i="7"/>
  <c r="B234" i="7"/>
  <c r="G233" i="7"/>
  <c r="B233" i="7"/>
  <c r="G232" i="7"/>
  <c r="B232" i="7"/>
  <c r="G231" i="7"/>
  <c r="B231" i="7"/>
  <c r="G230" i="7"/>
  <c r="B230" i="7"/>
  <c r="G229" i="7"/>
  <c r="B229" i="7"/>
  <c r="G228" i="7"/>
  <c r="B228" i="7"/>
  <c r="G227" i="7"/>
  <c r="B227" i="7"/>
  <c r="G226" i="7"/>
  <c r="B226" i="7"/>
  <c r="G225" i="7"/>
  <c r="B225" i="7"/>
  <c r="G224" i="7"/>
  <c r="B224" i="7"/>
  <c r="G223" i="7"/>
  <c r="B223" i="7"/>
  <c r="G222" i="7"/>
  <c r="B222" i="7"/>
  <c r="G221" i="7"/>
  <c r="B221" i="7"/>
  <c r="G220" i="7"/>
  <c r="B220" i="7"/>
  <c r="G219" i="7"/>
  <c r="B219" i="7"/>
  <c r="G218" i="7"/>
  <c r="B218" i="7"/>
  <c r="G217" i="7"/>
  <c r="B217" i="7"/>
  <c r="G216" i="7"/>
  <c r="B216" i="7"/>
  <c r="G215" i="7"/>
  <c r="B215" i="7"/>
  <c r="G214" i="7"/>
  <c r="B214" i="7"/>
  <c r="G213" i="7"/>
  <c r="B213" i="7"/>
  <c r="G212" i="7"/>
  <c r="B212" i="7"/>
  <c r="G211" i="7"/>
  <c r="B211" i="7"/>
  <c r="G210" i="7"/>
  <c r="B210" i="7"/>
  <c r="G209" i="7"/>
  <c r="B209" i="7"/>
  <c r="G208" i="7"/>
  <c r="B208" i="7"/>
  <c r="G207" i="7"/>
  <c r="B207" i="7"/>
  <c r="G206" i="7"/>
  <c r="B206" i="7"/>
  <c r="G205" i="7"/>
  <c r="B205" i="7"/>
  <c r="G204" i="7"/>
  <c r="B204" i="7"/>
  <c r="G203" i="7"/>
  <c r="B203" i="7"/>
  <c r="G202" i="7"/>
  <c r="B202" i="7"/>
  <c r="G201" i="7"/>
  <c r="B201" i="7"/>
  <c r="G200" i="7"/>
  <c r="B200" i="7"/>
  <c r="G199" i="7"/>
  <c r="B199" i="7"/>
  <c r="G198" i="7"/>
  <c r="B198" i="7"/>
  <c r="G197" i="7"/>
  <c r="B197" i="7"/>
  <c r="G196" i="7"/>
  <c r="B196" i="7"/>
  <c r="G195" i="7"/>
  <c r="B195" i="7"/>
  <c r="G194" i="7"/>
  <c r="B194" i="7"/>
  <c r="G193" i="7"/>
  <c r="B193" i="7"/>
  <c r="G192" i="7"/>
  <c r="B192" i="7"/>
  <c r="G191" i="7"/>
  <c r="B191" i="7"/>
  <c r="G190" i="7"/>
  <c r="B190" i="7"/>
  <c r="G189" i="7"/>
  <c r="B189" i="7"/>
  <c r="G188" i="7"/>
  <c r="B188" i="7"/>
  <c r="G187" i="7"/>
  <c r="B187" i="7"/>
  <c r="G186" i="7"/>
  <c r="B186" i="7"/>
  <c r="G185" i="7"/>
  <c r="B185" i="7"/>
  <c r="G184" i="7"/>
  <c r="B184" i="7"/>
  <c r="G183" i="7"/>
  <c r="B183" i="7"/>
  <c r="G182" i="7"/>
  <c r="B182" i="7"/>
  <c r="G181" i="7"/>
  <c r="B181" i="7"/>
  <c r="G180" i="7"/>
  <c r="B180" i="7"/>
  <c r="G179" i="7"/>
  <c r="B179" i="7"/>
  <c r="G178" i="7"/>
  <c r="B178" i="7"/>
  <c r="G177" i="7"/>
  <c r="B177" i="7"/>
  <c r="G176" i="7"/>
  <c r="B176" i="7"/>
  <c r="G175" i="7"/>
  <c r="B175" i="7"/>
  <c r="G174" i="7"/>
  <c r="B174" i="7"/>
  <c r="G173" i="7"/>
  <c r="B173" i="7"/>
  <c r="G172" i="7"/>
  <c r="B172" i="7"/>
  <c r="G171" i="7"/>
  <c r="B171" i="7"/>
  <c r="G170" i="7"/>
  <c r="B170" i="7"/>
  <c r="G169" i="7"/>
  <c r="B169" i="7"/>
  <c r="G168" i="7"/>
  <c r="B168" i="7"/>
  <c r="G167" i="7"/>
  <c r="B167" i="7"/>
  <c r="G166" i="7"/>
  <c r="B166" i="7"/>
  <c r="G165" i="7"/>
  <c r="B165" i="7"/>
  <c r="G164" i="7"/>
  <c r="B164" i="7"/>
  <c r="G163" i="7"/>
  <c r="B163" i="7"/>
  <c r="G162" i="7"/>
  <c r="B162" i="7"/>
  <c r="G161" i="7"/>
  <c r="B161" i="7"/>
  <c r="G160" i="7"/>
  <c r="B160" i="7"/>
  <c r="G159" i="7"/>
  <c r="B159" i="7"/>
  <c r="G158" i="7"/>
  <c r="B158" i="7"/>
  <c r="G157" i="7"/>
  <c r="B157" i="7"/>
  <c r="G156" i="7"/>
  <c r="B156" i="7"/>
  <c r="G155" i="7"/>
  <c r="B155" i="7"/>
  <c r="G154" i="7"/>
  <c r="B154" i="7"/>
  <c r="G153" i="7"/>
  <c r="B153" i="7"/>
  <c r="G152" i="7"/>
  <c r="B152" i="7"/>
  <c r="G151" i="7"/>
  <c r="B151" i="7"/>
  <c r="G150" i="7"/>
  <c r="B150" i="7"/>
  <c r="G149" i="7"/>
  <c r="B149" i="7"/>
  <c r="G148" i="7"/>
  <c r="B148" i="7"/>
  <c r="G147" i="7"/>
  <c r="B147" i="7"/>
  <c r="G146" i="7"/>
  <c r="B146" i="7"/>
  <c r="G145" i="7"/>
  <c r="B145" i="7"/>
  <c r="G144" i="7"/>
  <c r="B144" i="7"/>
  <c r="G143" i="7"/>
  <c r="B143" i="7"/>
  <c r="G142" i="7"/>
  <c r="B142" i="7"/>
  <c r="G141" i="7"/>
  <c r="B141" i="7"/>
  <c r="G140" i="7"/>
  <c r="B140" i="7"/>
  <c r="G139" i="7"/>
  <c r="B139" i="7"/>
  <c r="G138" i="7"/>
  <c r="B138" i="7"/>
  <c r="G137" i="7"/>
  <c r="B137" i="7"/>
  <c r="G136" i="7"/>
  <c r="B136" i="7"/>
  <c r="G135" i="7"/>
  <c r="B135" i="7"/>
  <c r="G134" i="7"/>
  <c r="B134" i="7"/>
  <c r="G133" i="7"/>
  <c r="B133" i="7"/>
  <c r="G132" i="7"/>
  <c r="B132" i="7"/>
  <c r="G131" i="7"/>
  <c r="B131" i="7"/>
  <c r="G130" i="7"/>
  <c r="B130" i="7"/>
  <c r="G129" i="7"/>
  <c r="B129" i="7"/>
  <c r="G128" i="7"/>
  <c r="B128" i="7"/>
  <c r="G127" i="7"/>
  <c r="B127" i="7"/>
  <c r="G126" i="7"/>
  <c r="B126" i="7"/>
  <c r="G125" i="7"/>
  <c r="B125" i="7"/>
  <c r="G124" i="7"/>
  <c r="B124" i="7"/>
  <c r="G123" i="7"/>
  <c r="B123" i="7"/>
  <c r="G122" i="7"/>
  <c r="B122" i="7"/>
  <c r="G121" i="7"/>
  <c r="B121" i="7"/>
  <c r="G120" i="7"/>
  <c r="B120" i="7"/>
  <c r="G119" i="7"/>
  <c r="B119" i="7"/>
  <c r="G118" i="7"/>
  <c r="B118" i="7"/>
  <c r="G117" i="7"/>
  <c r="B117" i="7"/>
  <c r="G116" i="7"/>
  <c r="B116" i="7"/>
  <c r="G115" i="7"/>
  <c r="B115" i="7"/>
  <c r="G114" i="7"/>
  <c r="B114" i="7"/>
  <c r="G113" i="7"/>
  <c r="B113" i="7"/>
  <c r="G112" i="7"/>
  <c r="B112" i="7"/>
  <c r="G111" i="7"/>
  <c r="B111" i="7"/>
  <c r="G110" i="7"/>
  <c r="B110" i="7"/>
  <c r="G109" i="7"/>
  <c r="B109" i="7"/>
  <c r="G108" i="7"/>
  <c r="B108" i="7"/>
  <c r="G107" i="7"/>
  <c r="B107" i="7"/>
  <c r="G106" i="7"/>
  <c r="B106" i="7"/>
  <c r="G105" i="7"/>
  <c r="B105" i="7"/>
  <c r="G104" i="7"/>
  <c r="B104" i="7"/>
  <c r="G103" i="7"/>
  <c r="B103" i="7"/>
  <c r="G102" i="7"/>
  <c r="B102" i="7"/>
  <c r="G101" i="7"/>
  <c r="B101" i="7"/>
  <c r="G100" i="7"/>
  <c r="B100" i="7"/>
  <c r="G99" i="7"/>
  <c r="B99" i="7"/>
  <c r="G98" i="7"/>
  <c r="B98" i="7"/>
  <c r="G97" i="7"/>
  <c r="B97" i="7"/>
  <c r="G96" i="7"/>
  <c r="B96" i="7"/>
  <c r="G95" i="7"/>
  <c r="B95" i="7"/>
  <c r="G94" i="7"/>
  <c r="B94" i="7"/>
  <c r="G93" i="7"/>
  <c r="B93" i="7"/>
  <c r="G92" i="7"/>
  <c r="B92" i="7"/>
  <c r="G91" i="7"/>
  <c r="B91" i="7"/>
  <c r="G90" i="7"/>
  <c r="B90" i="7"/>
  <c r="G89" i="7"/>
  <c r="B89" i="7"/>
  <c r="G88" i="7"/>
  <c r="B88" i="7"/>
  <c r="G87" i="7"/>
  <c r="B87" i="7"/>
  <c r="G86" i="7"/>
  <c r="B86" i="7"/>
  <c r="G85" i="7"/>
  <c r="B85" i="7"/>
  <c r="G84" i="7"/>
  <c r="B84" i="7"/>
  <c r="G83" i="7"/>
  <c r="B83" i="7"/>
  <c r="G82" i="7"/>
  <c r="B82" i="7"/>
  <c r="G81" i="7"/>
  <c r="B81" i="7"/>
  <c r="G80" i="7"/>
  <c r="B80" i="7"/>
  <c r="G79" i="7"/>
  <c r="B79" i="7"/>
  <c r="G78" i="7"/>
  <c r="B78" i="7"/>
  <c r="G77" i="7"/>
  <c r="B77" i="7"/>
  <c r="G76" i="7"/>
  <c r="B76" i="7"/>
  <c r="G75" i="7"/>
  <c r="B75" i="7"/>
  <c r="G74" i="7"/>
  <c r="B74" i="7"/>
  <c r="G73" i="7"/>
  <c r="B73" i="7"/>
  <c r="G72" i="7"/>
  <c r="B72" i="7"/>
  <c r="G71" i="7"/>
  <c r="B71" i="7"/>
  <c r="G70" i="7"/>
  <c r="B70" i="7"/>
  <c r="G69" i="7"/>
  <c r="B69" i="7"/>
  <c r="G68" i="7"/>
  <c r="B68" i="7"/>
  <c r="G67" i="7"/>
  <c r="B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3" i="7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3" i="4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5" i="6"/>
  <c r="B4" i="6"/>
  <c r="B3" i="6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12" i="5"/>
  <c r="B11" i="5"/>
  <c r="B4" i="5"/>
  <c r="B5" i="5"/>
  <c r="B6" i="5"/>
  <c r="B7" i="5"/>
  <c r="B8" i="5"/>
  <c r="B9" i="5"/>
  <c r="B10" i="5"/>
  <c r="B3" i="5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</calcChain>
</file>

<file path=xl/sharedStrings.xml><?xml version="1.0" encoding="utf-8"?>
<sst xmlns="http://schemas.openxmlformats.org/spreadsheetml/2006/main" count="40" uniqueCount="12">
  <si>
    <t>CAN1-500K</t>
    <phoneticPr fontId="1" type="noConversion"/>
  </si>
  <si>
    <t>ID</t>
    <phoneticPr fontId="1" type="noConversion"/>
  </si>
  <si>
    <t>CAN2-2M</t>
    <phoneticPr fontId="1" type="noConversion"/>
  </si>
  <si>
    <t>CAN3-2M</t>
    <phoneticPr fontId="1" type="noConversion"/>
  </si>
  <si>
    <t>WCRT/us</t>
    <phoneticPr fontId="1" type="noConversion"/>
  </si>
  <si>
    <t>MAWT/us</t>
    <phoneticPr fontId="1" type="noConversion"/>
  </si>
  <si>
    <t>CAN4-5M</t>
    <phoneticPr fontId="1" type="noConversion"/>
  </si>
  <si>
    <t>Transmission Time/us</t>
    <phoneticPr fontId="1" type="noConversion"/>
  </si>
  <si>
    <t>Period/us</t>
    <phoneticPr fontId="1" type="noConversion"/>
  </si>
  <si>
    <t>Deadline/us</t>
    <phoneticPr fontId="1" type="noConversion"/>
  </si>
  <si>
    <t>Frame Length/bytes</t>
    <phoneticPr fontId="1" type="noConversion"/>
  </si>
  <si>
    <t>Dataset(merged)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</si>
</sst>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0.5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BD4B0-069B-4332-B3A8-125D9AEBF813}">
  <dimension ref="A1:G252"/>
  <sheetViews>
    <sheetView tabSelected="1" workbookViewId="0">
      <selection activeCell="H6" sqref="H6"/>
    </sheetView>
  </sheetViews>
  <sheetFormatPr defaultRowHeight="14" x14ac:dyDescent="0.3"/>
  <cols>
    <col min="2" max="2" width="19.83203125" customWidth="1"/>
    <col min="3" max="3" width="9.75" customWidth="1"/>
    <col min="4" max="4" width="12.4140625" customWidth="1"/>
    <col min="5" max="5" width="17.6640625" customWidth="1"/>
    <col min="6" max="6" width="10.4140625" customWidth="1"/>
    <col min="7" max="7" width="12.58203125" customWidth="1"/>
  </cols>
  <sheetData>
    <row r="1" spans="1:7" x14ac:dyDescent="0.3">
      <c r="A1" s="4" t="s">
        <v>11</v>
      </c>
      <c r="B1" s="5"/>
      <c r="C1" s="5"/>
      <c r="D1" s="5"/>
      <c r="E1" s="5"/>
      <c r="F1" s="5"/>
      <c r="G1" s="5"/>
    </row>
    <row r="2" spans="1:7" x14ac:dyDescent="0.3">
      <c r="A2" s="1" t="s">
        <v>1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4</v>
      </c>
      <c r="G2" s="2" t="s">
        <v>5</v>
      </c>
    </row>
    <row r="3" spans="1:7" x14ac:dyDescent="0.3">
      <c r="A3" s="3">
        <v>1</v>
      </c>
      <c r="B3" s="3">
        <v>230</v>
      </c>
      <c r="C3" s="3">
        <v>10000</v>
      </c>
      <c r="D3" s="3">
        <v>10000</v>
      </c>
      <c r="E3" s="3">
        <v>6</v>
      </c>
      <c r="F3" s="3">
        <v>500</v>
      </c>
      <c r="G3" s="3">
        <f t="shared" ref="G3:G66" si="0">C3-F3</f>
        <v>9500</v>
      </c>
    </row>
    <row r="4" spans="1:7" x14ac:dyDescent="0.3">
      <c r="A4" s="3">
        <v>2</v>
      </c>
      <c r="B4" s="3">
        <v>210</v>
      </c>
      <c r="C4" s="3">
        <v>10000</v>
      </c>
      <c r="D4" s="3">
        <v>10000</v>
      </c>
      <c r="E4" s="3">
        <v>5</v>
      </c>
      <c r="F4" s="3">
        <v>710</v>
      </c>
      <c r="G4" s="3">
        <f t="shared" si="0"/>
        <v>9290</v>
      </c>
    </row>
    <row r="5" spans="1:7" x14ac:dyDescent="0.3">
      <c r="A5" s="3">
        <v>3</v>
      </c>
      <c r="B5" s="3">
        <v>250</v>
      </c>
      <c r="C5" s="3">
        <v>10000</v>
      </c>
      <c r="D5" s="3">
        <v>10000</v>
      </c>
      <c r="E5" s="3">
        <v>7</v>
      </c>
      <c r="F5" s="3">
        <v>960</v>
      </c>
      <c r="G5" s="3">
        <f t="shared" si="0"/>
        <v>9040</v>
      </c>
    </row>
    <row r="6" spans="1:7" x14ac:dyDescent="0.3">
      <c r="A6" s="3">
        <v>4</v>
      </c>
      <c r="B6" s="3">
        <v>170</v>
      </c>
      <c r="C6" s="3">
        <v>10000</v>
      </c>
      <c r="D6" s="3">
        <v>10000</v>
      </c>
      <c r="E6" s="3">
        <v>3</v>
      </c>
      <c r="F6" s="3">
        <v>1130</v>
      </c>
      <c r="G6" s="3">
        <f t="shared" si="0"/>
        <v>8870</v>
      </c>
    </row>
    <row r="7" spans="1:7" x14ac:dyDescent="0.3">
      <c r="A7" s="3">
        <v>5</v>
      </c>
      <c r="B7" s="3">
        <v>250</v>
      </c>
      <c r="C7" s="3">
        <v>10000</v>
      </c>
      <c r="D7" s="3">
        <v>10000</v>
      </c>
      <c r="E7" s="3">
        <v>7</v>
      </c>
      <c r="F7" s="3">
        <v>1380</v>
      </c>
      <c r="G7" s="3">
        <f t="shared" si="0"/>
        <v>8620</v>
      </c>
    </row>
    <row r="8" spans="1:7" x14ac:dyDescent="0.3">
      <c r="A8" s="3">
        <v>6</v>
      </c>
      <c r="B8" s="3">
        <v>190</v>
      </c>
      <c r="C8" s="3">
        <v>25000</v>
      </c>
      <c r="D8" s="3">
        <v>25000</v>
      </c>
      <c r="E8" s="3">
        <v>4</v>
      </c>
      <c r="F8" s="3">
        <v>1570</v>
      </c>
      <c r="G8" s="3">
        <f t="shared" si="0"/>
        <v>23430</v>
      </c>
    </row>
    <row r="9" spans="1:7" x14ac:dyDescent="0.3">
      <c r="A9" s="3">
        <v>7</v>
      </c>
      <c r="B9" s="3">
        <v>270</v>
      </c>
      <c r="C9" s="3">
        <v>100000</v>
      </c>
      <c r="D9" s="3">
        <v>100000</v>
      </c>
      <c r="E9" s="3">
        <v>8</v>
      </c>
      <c r="F9" s="3">
        <v>1840</v>
      </c>
      <c r="G9" s="3">
        <f t="shared" si="0"/>
        <v>98160</v>
      </c>
    </row>
    <row r="10" spans="1:7" x14ac:dyDescent="0.3">
      <c r="A10" s="3">
        <v>8</v>
      </c>
      <c r="B10" s="3">
        <v>270</v>
      </c>
      <c r="C10" s="3">
        <v>100000</v>
      </c>
      <c r="D10" s="3">
        <v>100000</v>
      </c>
      <c r="E10" s="3">
        <v>8</v>
      </c>
      <c r="F10" s="3">
        <v>2110</v>
      </c>
      <c r="G10" s="3">
        <f t="shared" si="0"/>
        <v>97890</v>
      </c>
    </row>
    <row r="11" spans="1:7" x14ac:dyDescent="0.3">
      <c r="A11" s="3">
        <v>9</v>
      </c>
      <c r="B11" s="3">
        <v>270</v>
      </c>
      <c r="C11" s="3">
        <v>100000</v>
      </c>
      <c r="D11" s="3">
        <v>100000</v>
      </c>
      <c r="E11" s="3">
        <v>8</v>
      </c>
      <c r="F11" s="3">
        <v>2380</v>
      </c>
      <c r="G11" s="3">
        <f t="shared" si="0"/>
        <v>97620</v>
      </c>
    </row>
    <row r="12" spans="1:7" x14ac:dyDescent="0.3">
      <c r="A12" s="3">
        <v>10</v>
      </c>
      <c r="B12" s="3">
        <v>250</v>
      </c>
      <c r="C12" s="3">
        <v>100000</v>
      </c>
      <c r="D12" s="3">
        <v>100000</v>
      </c>
      <c r="E12" s="3">
        <v>7</v>
      </c>
      <c r="F12" s="3">
        <v>2630</v>
      </c>
      <c r="G12" s="3">
        <f t="shared" si="0"/>
        <v>97370</v>
      </c>
    </row>
    <row r="13" spans="1:7" x14ac:dyDescent="0.3">
      <c r="A13" s="3">
        <v>11</v>
      </c>
      <c r="B13" s="3">
        <v>210</v>
      </c>
      <c r="C13" s="3">
        <v>1000000</v>
      </c>
      <c r="D13" s="3">
        <v>1000000</v>
      </c>
      <c r="E13" s="3">
        <v>5</v>
      </c>
      <c r="F13" s="3">
        <v>2840</v>
      </c>
      <c r="G13" s="3">
        <f t="shared" si="0"/>
        <v>997160</v>
      </c>
    </row>
    <row r="14" spans="1:7" x14ac:dyDescent="0.3">
      <c r="A14" s="3">
        <v>12</v>
      </c>
      <c r="B14" s="3">
        <v>270</v>
      </c>
      <c r="C14" s="3">
        <v>100000</v>
      </c>
      <c r="D14" s="3">
        <v>100000</v>
      </c>
      <c r="E14" s="3">
        <v>8</v>
      </c>
      <c r="F14" s="3">
        <v>3110</v>
      </c>
      <c r="G14" s="3">
        <f t="shared" si="0"/>
        <v>96890</v>
      </c>
    </row>
    <row r="15" spans="1:7" x14ac:dyDescent="0.3">
      <c r="A15" s="3">
        <v>13</v>
      </c>
      <c r="B15" s="3">
        <v>270</v>
      </c>
      <c r="C15" s="3">
        <v>100000</v>
      </c>
      <c r="D15" s="3">
        <v>100000</v>
      </c>
      <c r="E15" s="3">
        <v>8</v>
      </c>
      <c r="F15" s="3">
        <v>3380</v>
      </c>
      <c r="G15" s="3">
        <f t="shared" si="0"/>
        <v>96620</v>
      </c>
    </row>
    <row r="16" spans="1:7" x14ac:dyDescent="0.3">
      <c r="A16" s="3">
        <v>14</v>
      </c>
      <c r="B16" s="3">
        <v>270</v>
      </c>
      <c r="C16" s="3">
        <v>200000</v>
      </c>
      <c r="D16" s="3">
        <v>200000</v>
      </c>
      <c r="E16" s="3">
        <v>8</v>
      </c>
      <c r="F16" s="3">
        <v>3650</v>
      </c>
      <c r="G16" s="3">
        <f t="shared" si="0"/>
        <v>196350</v>
      </c>
    </row>
    <row r="17" spans="1:7" x14ac:dyDescent="0.3">
      <c r="A17" s="3">
        <v>15</v>
      </c>
      <c r="B17" s="3">
        <v>210</v>
      </c>
      <c r="C17" s="3">
        <v>1000000</v>
      </c>
      <c r="D17" s="3">
        <v>1000000</v>
      </c>
      <c r="E17" s="3">
        <v>5</v>
      </c>
      <c r="F17" s="3">
        <v>3860</v>
      </c>
      <c r="G17" s="3">
        <f t="shared" si="0"/>
        <v>996140</v>
      </c>
    </row>
    <row r="18" spans="1:7" x14ac:dyDescent="0.3">
      <c r="A18" s="3">
        <v>16</v>
      </c>
      <c r="B18" s="3">
        <v>270</v>
      </c>
      <c r="C18" s="3">
        <v>10000</v>
      </c>
      <c r="D18" s="3">
        <v>10000</v>
      </c>
      <c r="E18" s="3">
        <v>8</v>
      </c>
      <c r="F18" s="3">
        <v>4130</v>
      </c>
      <c r="G18" s="3">
        <f t="shared" si="0"/>
        <v>5870</v>
      </c>
    </row>
    <row r="19" spans="1:7" x14ac:dyDescent="0.3">
      <c r="A19" s="3">
        <v>17</v>
      </c>
      <c r="B19" s="3">
        <v>250</v>
      </c>
      <c r="C19" s="3">
        <v>10000</v>
      </c>
      <c r="D19" s="3">
        <v>10000</v>
      </c>
      <c r="E19" s="3">
        <v>7</v>
      </c>
      <c r="F19" s="3">
        <v>4380</v>
      </c>
      <c r="G19" s="3">
        <f t="shared" si="0"/>
        <v>5620</v>
      </c>
    </row>
    <row r="20" spans="1:7" x14ac:dyDescent="0.3">
      <c r="A20" s="3">
        <v>18</v>
      </c>
      <c r="B20" s="3">
        <v>270</v>
      </c>
      <c r="C20" s="3">
        <v>100000</v>
      </c>
      <c r="D20" s="3">
        <v>100000</v>
      </c>
      <c r="E20" s="3">
        <v>8</v>
      </c>
      <c r="F20" s="3">
        <v>4650</v>
      </c>
      <c r="G20" s="3">
        <f t="shared" si="0"/>
        <v>95350</v>
      </c>
    </row>
    <row r="21" spans="1:7" x14ac:dyDescent="0.3">
      <c r="A21" s="3">
        <v>19</v>
      </c>
      <c r="B21" s="3">
        <v>270</v>
      </c>
      <c r="C21" s="3">
        <v>100000</v>
      </c>
      <c r="D21" s="3">
        <v>100000</v>
      </c>
      <c r="E21" s="3">
        <v>8</v>
      </c>
      <c r="F21" s="3">
        <v>4920</v>
      </c>
      <c r="G21" s="3">
        <f t="shared" si="0"/>
        <v>95080</v>
      </c>
    </row>
    <row r="22" spans="1:7" x14ac:dyDescent="0.3">
      <c r="A22" s="3">
        <v>20</v>
      </c>
      <c r="B22" s="3">
        <v>270</v>
      </c>
      <c r="C22" s="3">
        <v>100000</v>
      </c>
      <c r="D22" s="3">
        <v>100000</v>
      </c>
      <c r="E22" s="3">
        <v>8</v>
      </c>
      <c r="F22" s="3">
        <v>5190</v>
      </c>
      <c r="G22" s="3">
        <f t="shared" si="0"/>
        <v>94810</v>
      </c>
    </row>
    <row r="23" spans="1:7" x14ac:dyDescent="0.3">
      <c r="A23" s="3">
        <v>21</v>
      </c>
      <c r="B23" s="3">
        <v>170</v>
      </c>
      <c r="C23" s="3">
        <v>100000</v>
      </c>
      <c r="D23" s="3">
        <v>100000</v>
      </c>
      <c r="E23" s="3">
        <v>3</v>
      </c>
      <c r="F23" s="3">
        <v>5360</v>
      </c>
      <c r="G23" s="3">
        <f t="shared" si="0"/>
        <v>94640</v>
      </c>
    </row>
    <row r="24" spans="1:7" x14ac:dyDescent="0.3">
      <c r="A24" s="3">
        <v>22</v>
      </c>
      <c r="B24" s="3">
        <v>210</v>
      </c>
      <c r="C24" s="3">
        <v>1000000</v>
      </c>
      <c r="D24" s="3">
        <v>1000000</v>
      </c>
      <c r="E24" s="3">
        <v>5</v>
      </c>
      <c r="F24" s="3">
        <v>5570</v>
      </c>
      <c r="G24" s="3">
        <f t="shared" si="0"/>
        <v>994430</v>
      </c>
    </row>
    <row r="25" spans="1:7" x14ac:dyDescent="0.3">
      <c r="A25" s="3">
        <v>23</v>
      </c>
      <c r="B25" s="3">
        <v>270</v>
      </c>
      <c r="C25" s="3">
        <v>10000</v>
      </c>
      <c r="D25" s="3">
        <v>10000</v>
      </c>
      <c r="E25" s="3">
        <v>8</v>
      </c>
      <c r="F25" s="3">
        <v>5840</v>
      </c>
      <c r="G25" s="3">
        <f t="shared" si="0"/>
        <v>4160</v>
      </c>
    </row>
    <row r="26" spans="1:7" x14ac:dyDescent="0.3">
      <c r="A26" s="3">
        <v>24</v>
      </c>
      <c r="B26" s="3">
        <v>170</v>
      </c>
      <c r="C26" s="3">
        <v>100000</v>
      </c>
      <c r="D26" s="3">
        <v>100000</v>
      </c>
      <c r="E26" s="3">
        <v>3</v>
      </c>
      <c r="F26" s="3">
        <v>6010</v>
      </c>
      <c r="G26" s="3">
        <f t="shared" si="0"/>
        <v>93990</v>
      </c>
    </row>
    <row r="27" spans="1:7" x14ac:dyDescent="0.3">
      <c r="A27" s="3">
        <v>25</v>
      </c>
      <c r="B27" s="3">
        <v>270</v>
      </c>
      <c r="C27" s="3">
        <v>100000</v>
      </c>
      <c r="D27" s="3">
        <v>100000</v>
      </c>
      <c r="E27" s="3">
        <v>8</v>
      </c>
      <c r="F27" s="3">
        <v>6280</v>
      </c>
      <c r="G27" s="3">
        <f t="shared" si="0"/>
        <v>93720</v>
      </c>
    </row>
    <row r="28" spans="1:7" x14ac:dyDescent="0.3">
      <c r="A28" s="3">
        <v>26</v>
      </c>
      <c r="B28" s="3">
        <v>270</v>
      </c>
      <c r="C28" s="3">
        <v>100000</v>
      </c>
      <c r="D28" s="3">
        <v>100000</v>
      </c>
      <c r="E28" s="3">
        <v>8</v>
      </c>
      <c r="F28" s="3">
        <v>6550</v>
      </c>
      <c r="G28" s="3">
        <f t="shared" si="0"/>
        <v>93450</v>
      </c>
    </row>
    <row r="29" spans="1:7" x14ac:dyDescent="0.3">
      <c r="A29" s="3">
        <v>27</v>
      </c>
      <c r="B29" s="3">
        <v>210</v>
      </c>
      <c r="C29" s="3">
        <v>100000</v>
      </c>
      <c r="D29" s="3">
        <v>100000</v>
      </c>
      <c r="E29" s="3">
        <v>5</v>
      </c>
      <c r="F29" s="3">
        <v>6760</v>
      </c>
      <c r="G29" s="3">
        <f t="shared" si="0"/>
        <v>93240</v>
      </c>
    </row>
    <row r="30" spans="1:7" x14ac:dyDescent="0.3">
      <c r="A30" s="3">
        <v>28</v>
      </c>
      <c r="B30" s="3">
        <v>210</v>
      </c>
      <c r="C30" s="3">
        <v>1000000</v>
      </c>
      <c r="D30" s="3">
        <v>1000000</v>
      </c>
      <c r="E30" s="3">
        <v>5</v>
      </c>
      <c r="F30" s="3">
        <v>6970</v>
      </c>
      <c r="G30" s="3">
        <f t="shared" si="0"/>
        <v>993030</v>
      </c>
    </row>
    <row r="31" spans="1:7" x14ac:dyDescent="0.3">
      <c r="A31" s="3">
        <v>29</v>
      </c>
      <c r="B31" s="3">
        <v>270</v>
      </c>
      <c r="C31" s="3">
        <v>100000</v>
      </c>
      <c r="D31" s="3">
        <v>100000</v>
      </c>
      <c r="E31" s="3">
        <v>8</v>
      </c>
      <c r="F31" s="3">
        <v>7240</v>
      </c>
      <c r="G31" s="3">
        <f t="shared" si="0"/>
        <v>92760</v>
      </c>
    </row>
    <row r="32" spans="1:7" x14ac:dyDescent="0.3">
      <c r="A32" s="3">
        <v>30</v>
      </c>
      <c r="B32" s="3">
        <v>270</v>
      </c>
      <c r="C32" s="3">
        <v>100000</v>
      </c>
      <c r="D32" s="3">
        <v>100000</v>
      </c>
      <c r="E32" s="3">
        <v>8</v>
      </c>
      <c r="F32" s="3">
        <v>7510</v>
      </c>
      <c r="G32" s="3">
        <f t="shared" si="0"/>
        <v>92490</v>
      </c>
    </row>
    <row r="33" spans="1:7" x14ac:dyDescent="0.3">
      <c r="A33" s="3">
        <v>31</v>
      </c>
      <c r="B33" s="3">
        <v>270</v>
      </c>
      <c r="C33" s="3">
        <v>100000</v>
      </c>
      <c r="D33" s="3">
        <v>100000</v>
      </c>
      <c r="E33" s="3">
        <v>8</v>
      </c>
      <c r="F33" s="3">
        <v>7780</v>
      </c>
      <c r="G33" s="3">
        <f t="shared" si="0"/>
        <v>92220</v>
      </c>
    </row>
    <row r="34" spans="1:7" x14ac:dyDescent="0.3">
      <c r="A34" s="3">
        <v>32</v>
      </c>
      <c r="B34" s="3">
        <v>210</v>
      </c>
      <c r="C34" s="3">
        <v>1000000</v>
      </c>
      <c r="D34" s="3">
        <v>1000000</v>
      </c>
      <c r="E34" s="3">
        <v>5</v>
      </c>
      <c r="F34" s="3">
        <v>7990</v>
      </c>
      <c r="G34" s="3">
        <f t="shared" si="0"/>
        <v>992010</v>
      </c>
    </row>
    <row r="35" spans="1:7" x14ac:dyDescent="0.3">
      <c r="A35" s="3">
        <v>33</v>
      </c>
      <c r="B35" s="3">
        <v>270</v>
      </c>
      <c r="C35" s="3">
        <v>100000</v>
      </c>
      <c r="D35" s="3">
        <v>100000</v>
      </c>
      <c r="E35" s="3">
        <v>8</v>
      </c>
      <c r="F35" s="3">
        <v>8260</v>
      </c>
      <c r="G35" s="3">
        <f t="shared" si="0"/>
        <v>91740</v>
      </c>
    </row>
    <row r="36" spans="1:7" x14ac:dyDescent="0.3">
      <c r="A36" s="3">
        <v>34</v>
      </c>
      <c r="B36" s="3">
        <v>230</v>
      </c>
      <c r="C36" s="3">
        <v>100000</v>
      </c>
      <c r="D36" s="3">
        <v>100000</v>
      </c>
      <c r="E36" s="3">
        <v>6</v>
      </c>
      <c r="F36" s="3">
        <v>8490</v>
      </c>
      <c r="G36" s="3">
        <f t="shared" si="0"/>
        <v>91510</v>
      </c>
    </row>
    <row r="37" spans="1:7" x14ac:dyDescent="0.3">
      <c r="A37" s="3">
        <v>35</v>
      </c>
      <c r="B37" s="3">
        <v>190</v>
      </c>
      <c r="C37" s="3">
        <v>200000</v>
      </c>
      <c r="D37" s="3">
        <v>200000</v>
      </c>
      <c r="E37" s="3">
        <v>4</v>
      </c>
      <c r="F37" s="3">
        <v>8680</v>
      </c>
      <c r="G37" s="3">
        <f t="shared" si="0"/>
        <v>191320</v>
      </c>
    </row>
    <row r="38" spans="1:7" x14ac:dyDescent="0.3">
      <c r="A38" s="3">
        <v>36</v>
      </c>
      <c r="B38" s="3">
        <v>210</v>
      </c>
      <c r="C38" s="3">
        <v>1000000</v>
      </c>
      <c r="D38" s="3">
        <v>1000000</v>
      </c>
      <c r="E38" s="3">
        <v>5</v>
      </c>
      <c r="F38" s="3">
        <v>8890</v>
      </c>
      <c r="G38" s="3">
        <f t="shared" si="0"/>
        <v>991110</v>
      </c>
    </row>
    <row r="39" spans="1:7" x14ac:dyDescent="0.3">
      <c r="A39" s="3">
        <v>37</v>
      </c>
      <c r="B39" s="3">
        <v>250</v>
      </c>
      <c r="C39" s="3">
        <v>12000</v>
      </c>
      <c r="D39" s="3">
        <v>12000</v>
      </c>
      <c r="E39" s="3">
        <v>7</v>
      </c>
      <c r="F39" s="3">
        <v>9140</v>
      </c>
      <c r="G39" s="3">
        <f t="shared" si="0"/>
        <v>2860</v>
      </c>
    </row>
    <row r="40" spans="1:7" x14ac:dyDescent="0.3">
      <c r="A40" s="3">
        <v>38</v>
      </c>
      <c r="B40" s="3">
        <v>150</v>
      </c>
      <c r="C40" s="3">
        <v>100000</v>
      </c>
      <c r="D40" s="3">
        <v>100000</v>
      </c>
      <c r="E40" s="3">
        <v>2</v>
      </c>
      <c r="F40" s="3">
        <v>9290</v>
      </c>
      <c r="G40" s="3">
        <f t="shared" si="0"/>
        <v>90710</v>
      </c>
    </row>
    <row r="41" spans="1:7" x14ac:dyDescent="0.3">
      <c r="A41" s="3">
        <v>39</v>
      </c>
      <c r="B41" s="3">
        <v>210</v>
      </c>
      <c r="C41" s="3">
        <v>1000000</v>
      </c>
      <c r="D41" s="3">
        <v>1000000</v>
      </c>
      <c r="E41" s="3">
        <v>5</v>
      </c>
      <c r="F41" s="3">
        <v>9500</v>
      </c>
      <c r="G41" s="3">
        <f t="shared" si="0"/>
        <v>990500</v>
      </c>
    </row>
    <row r="42" spans="1:7" x14ac:dyDescent="0.3">
      <c r="A42" s="3">
        <v>40</v>
      </c>
      <c r="B42" s="3">
        <v>150</v>
      </c>
      <c r="C42" s="3">
        <v>15000</v>
      </c>
      <c r="D42" s="3">
        <v>15000</v>
      </c>
      <c r="E42" s="3">
        <v>2</v>
      </c>
      <c r="F42" s="3">
        <v>9650</v>
      </c>
      <c r="G42" s="3">
        <f t="shared" si="0"/>
        <v>5350</v>
      </c>
    </row>
    <row r="43" spans="1:7" x14ac:dyDescent="0.3">
      <c r="A43" s="3">
        <v>41</v>
      </c>
      <c r="B43" s="3">
        <v>270</v>
      </c>
      <c r="C43" s="3">
        <v>15000</v>
      </c>
      <c r="D43" s="3">
        <v>15000</v>
      </c>
      <c r="E43" s="3">
        <v>8</v>
      </c>
      <c r="F43" s="3">
        <v>9920</v>
      </c>
      <c r="G43" s="3">
        <f t="shared" si="0"/>
        <v>5080</v>
      </c>
    </row>
    <row r="44" spans="1:7" x14ac:dyDescent="0.3">
      <c r="A44" s="3">
        <v>42</v>
      </c>
      <c r="B44" s="3">
        <v>150</v>
      </c>
      <c r="C44" s="3">
        <v>14000</v>
      </c>
      <c r="D44" s="3">
        <v>14000</v>
      </c>
      <c r="E44" s="3">
        <v>2</v>
      </c>
      <c r="F44" s="3">
        <v>10070</v>
      </c>
      <c r="G44" s="3">
        <f t="shared" si="0"/>
        <v>3930</v>
      </c>
    </row>
    <row r="45" spans="1:7" x14ac:dyDescent="0.3">
      <c r="A45" s="3">
        <v>43</v>
      </c>
      <c r="B45" s="3">
        <v>150</v>
      </c>
      <c r="C45" s="3">
        <v>20000</v>
      </c>
      <c r="D45" s="3">
        <v>20000</v>
      </c>
      <c r="E45" s="3">
        <v>2</v>
      </c>
      <c r="F45" s="3">
        <v>12120</v>
      </c>
      <c r="G45" s="3">
        <f t="shared" si="0"/>
        <v>7880</v>
      </c>
    </row>
    <row r="46" spans="1:7" x14ac:dyDescent="0.3">
      <c r="A46" s="3">
        <v>44</v>
      </c>
      <c r="B46" s="3">
        <v>150</v>
      </c>
      <c r="C46" s="3">
        <v>20000</v>
      </c>
      <c r="D46" s="3">
        <v>20000</v>
      </c>
      <c r="E46" s="3">
        <v>2</v>
      </c>
      <c r="F46" s="3">
        <v>12520</v>
      </c>
      <c r="G46" s="3">
        <f t="shared" si="0"/>
        <v>7480</v>
      </c>
    </row>
    <row r="47" spans="1:7" x14ac:dyDescent="0.3">
      <c r="A47" s="3">
        <v>45</v>
      </c>
      <c r="B47" s="3">
        <v>210</v>
      </c>
      <c r="C47" s="3">
        <v>20000</v>
      </c>
      <c r="D47" s="3">
        <v>20000</v>
      </c>
      <c r="E47" s="3">
        <v>5</v>
      </c>
      <c r="F47" s="3">
        <v>12730</v>
      </c>
      <c r="G47" s="3">
        <f t="shared" si="0"/>
        <v>7270</v>
      </c>
    </row>
    <row r="48" spans="1:7" x14ac:dyDescent="0.3">
      <c r="A48" s="3">
        <v>46</v>
      </c>
      <c r="B48" s="3">
        <v>270</v>
      </c>
      <c r="C48" s="3">
        <v>50000</v>
      </c>
      <c r="D48" s="3">
        <v>50000</v>
      </c>
      <c r="E48" s="3">
        <v>8</v>
      </c>
      <c r="F48" s="3">
        <v>13000</v>
      </c>
      <c r="G48" s="3">
        <f t="shared" si="0"/>
        <v>37000</v>
      </c>
    </row>
    <row r="49" spans="1:7" x14ac:dyDescent="0.3">
      <c r="A49" s="3">
        <v>47</v>
      </c>
      <c r="B49" s="3">
        <v>270</v>
      </c>
      <c r="C49" s="3">
        <v>50000</v>
      </c>
      <c r="D49" s="3">
        <v>50000</v>
      </c>
      <c r="E49" s="3">
        <v>8</v>
      </c>
      <c r="F49" s="3">
        <v>13270</v>
      </c>
      <c r="G49" s="3">
        <f t="shared" si="0"/>
        <v>36730</v>
      </c>
    </row>
    <row r="50" spans="1:7" x14ac:dyDescent="0.3">
      <c r="A50" s="3">
        <v>48</v>
      </c>
      <c r="B50" s="3">
        <v>270</v>
      </c>
      <c r="C50" s="3">
        <v>100000</v>
      </c>
      <c r="D50" s="3">
        <v>100000</v>
      </c>
      <c r="E50" s="3">
        <v>8</v>
      </c>
      <c r="F50" s="3">
        <v>13540</v>
      </c>
      <c r="G50" s="3">
        <f t="shared" si="0"/>
        <v>86460</v>
      </c>
    </row>
    <row r="51" spans="1:7" x14ac:dyDescent="0.3">
      <c r="A51" s="3">
        <v>49</v>
      </c>
      <c r="B51" s="3">
        <v>190</v>
      </c>
      <c r="C51" s="3">
        <v>100000</v>
      </c>
      <c r="D51" s="3">
        <v>100000</v>
      </c>
      <c r="E51" s="3">
        <v>4</v>
      </c>
      <c r="F51" s="3">
        <v>13730</v>
      </c>
      <c r="G51" s="3">
        <f t="shared" si="0"/>
        <v>86270</v>
      </c>
    </row>
    <row r="52" spans="1:7" x14ac:dyDescent="0.3">
      <c r="A52" s="3">
        <v>50</v>
      </c>
      <c r="B52" s="3">
        <v>190</v>
      </c>
      <c r="C52" s="3">
        <v>100000</v>
      </c>
      <c r="D52" s="3">
        <v>100000</v>
      </c>
      <c r="E52" s="3">
        <v>4</v>
      </c>
      <c r="F52" s="3">
        <v>13920</v>
      </c>
      <c r="G52" s="3">
        <f t="shared" si="0"/>
        <v>86080</v>
      </c>
    </row>
    <row r="53" spans="1:7" x14ac:dyDescent="0.3">
      <c r="A53" s="3">
        <v>51</v>
      </c>
      <c r="B53" s="3">
        <v>210</v>
      </c>
      <c r="C53" s="3">
        <v>1000000</v>
      </c>
      <c r="D53" s="3">
        <v>1000000</v>
      </c>
      <c r="E53" s="3">
        <v>5</v>
      </c>
      <c r="F53" s="3">
        <v>14130</v>
      </c>
      <c r="G53" s="3">
        <f t="shared" si="0"/>
        <v>985870</v>
      </c>
    </row>
    <row r="54" spans="1:7" x14ac:dyDescent="0.3">
      <c r="A54" s="3">
        <v>52</v>
      </c>
      <c r="B54" s="3">
        <v>150</v>
      </c>
      <c r="C54" s="3">
        <v>25000</v>
      </c>
      <c r="D54" s="3">
        <v>25000</v>
      </c>
      <c r="E54" s="3">
        <v>2</v>
      </c>
      <c r="F54" s="3">
        <v>14430</v>
      </c>
      <c r="G54" s="3">
        <f t="shared" si="0"/>
        <v>10570</v>
      </c>
    </row>
    <row r="55" spans="1:7" x14ac:dyDescent="0.3">
      <c r="A55" s="3">
        <v>53</v>
      </c>
      <c r="B55" s="3">
        <v>190</v>
      </c>
      <c r="C55" s="3">
        <v>100000</v>
      </c>
      <c r="D55" s="3">
        <v>100000</v>
      </c>
      <c r="E55" s="3">
        <v>4</v>
      </c>
      <c r="F55" s="3">
        <v>14620</v>
      </c>
      <c r="G55" s="3">
        <f t="shared" si="0"/>
        <v>85380</v>
      </c>
    </row>
    <row r="56" spans="1:7" x14ac:dyDescent="0.3">
      <c r="A56" s="3">
        <v>54</v>
      </c>
      <c r="B56" s="3">
        <v>210</v>
      </c>
      <c r="C56" s="3">
        <v>1000000</v>
      </c>
      <c r="D56" s="3">
        <v>1000000</v>
      </c>
      <c r="E56" s="3">
        <v>5</v>
      </c>
      <c r="F56" s="3">
        <v>14830</v>
      </c>
      <c r="G56" s="3">
        <f t="shared" si="0"/>
        <v>985170</v>
      </c>
    </row>
    <row r="57" spans="1:7" x14ac:dyDescent="0.3">
      <c r="A57" s="3">
        <v>55</v>
      </c>
      <c r="B57" s="3">
        <v>150</v>
      </c>
      <c r="C57" s="3">
        <v>25000</v>
      </c>
      <c r="D57" s="3">
        <v>25000</v>
      </c>
      <c r="E57" s="3">
        <v>2</v>
      </c>
      <c r="F57" s="3">
        <v>14980</v>
      </c>
      <c r="G57" s="3">
        <f t="shared" si="0"/>
        <v>10020</v>
      </c>
    </row>
    <row r="58" spans="1:7" x14ac:dyDescent="0.3">
      <c r="A58" s="3">
        <v>56</v>
      </c>
      <c r="B58" s="3">
        <v>210</v>
      </c>
      <c r="C58" s="3">
        <v>31000</v>
      </c>
      <c r="D58" s="3">
        <v>31000</v>
      </c>
      <c r="E58" s="3">
        <v>5</v>
      </c>
      <c r="F58" s="3">
        <v>15190</v>
      </c>
      <c r="G58" s="3">
        <f t="shared" si="0"/>
        <v>15810</v>
      </c>
    </row>
    <row r="59" spans="1:7" x14ac:dyDescent="0.3">
      <c r="A59" s="3">
        <v>57</v>
      </c>
      <c r="B59" s="3">
        <v>170</v>
      </c>
      <c r="C59" s="3">
        <v>32000</v>
      </c>
      <c r="D59" s="3">
        <v>32000</v>
      </c>
      <c r="E59" s="3">
        <v>3</v>
      </c>
      <c r="F59" s="3">
        <v>15780</v>
      </c>
      <c r="G59" s="3">
        <f t="shared" si="0"/>
        <v>16220</v>
      </c>
    </row>
    <row r="60" spans="1:7" x14ac:dyDescent="0.3">
      <c r="A60" s="3">
        <v>58</v>
      </c>
      <c r="B60" s="3">
        <v>210</v>
      </c>
      <c r="C60" s="3">
        <v>33000</v>
      </c>
      <c r="D60" s="3">
        <v>33000</v>
      </c>
      <c r="E60" s="3">
        <v>5</v>
      </c>
      <c r="F60" s="3">
        <v>15990</v>
      </c>
      <c r="G60" s="3">
        <f t="shared" si="0"/>
        <v>17010</v>
      </c>
    </row>
    <row r="61" spans="1:7" x14ac:dyDescent="0.3">
      <c r="A61" s="3">
        <v>59</v>
      </c>
      <c r="B61" s="3">
        <v>190</v>
      </c>
      <c r="C61" s="3">
        <v>33000</v>
      </c>
      <c r="D61" s="3">
        <v>33000</v>
      </c>
      <c r="E61" s="3">
        <v>4</v>
      </c>
      <c r="F61" s="3">
        <v>16180</v>
      </c>
      <c r="G61" s="3">
        <f t="shared" si="0"/>
        <v>16820</v>
      </c>
    </row>
    <row r="62" spans="1:7" x14ac:dyDescent="0.3">
      <c r="A62" s="3">
        <v>60</v>
      </c>
      <c r="B62" s="3">
        <v>210</v>
      </c>
      <c r="C62" s="3">
        <v>33000</v>
      </c>
      <c r="D62" s="3">
        <v>33000</v>
      </c>
      <c r="E62" s="3">
        <v>5</v>
      </c>
      <c r="F62" s="3">
        <v>16390</v>
      </c>
      <c r="G62" s="3">
        <f t="shared" si="0"/>
        <v>16610</v>
      </c>
    </row>
    <row r="63" spans="1:7" x14ac:dyDescent="0.3">
      <c r="A63" s="3">
        <v>61</v>
      </c>
      <c r="B63" s="3">
        <v>270</v>
      </c>
      <c r="C63" s="3">
        <v>34000</v>
      </c>
      <c r="D63" s="3">
        <v>34000</v>
      </c>
      <c r="E63" s="3">
        <v>8</v>
      </c>
      <c r="F63" s="3">
        <v>16640</v>
      </c>
      <c r="G63" s="3">
        <f t="shared" si="0"/>
        <v>17360</v>
      </c>
    </row>
    <row r="64" spans="1:7" x14ac:dyDescent="0.3">
      <c r="A64" s="3">
        <v>62</v>
      </c>
      <c r="B64" s="3">
        <v>250</v>
      </c>
      <c r="C64" s="3">
        <v>34000</v>
      </c>
      <c r="D64" s="3">
        <v>34000</v>
      </c>
      <c r="E64" s="3">
        <v>7</v>
      </c>
      <c r="F64" s="3">
        <v>16850</v>
      </c>
      <c r="G64" s="3">
        <f t="shared" si="0"/>
        <v>17150</v>
      </c>
    </row>
    <row r="65" spans="1:7" x14ac:dyDescent="0.3">
      <c r="A65" s="3">
        <v>63</v>
      </c>
      <c r="B65" s="3">
        <v>210</v>
      </c>
      <c r="C65" s="3">
        <v>36000</v>
      </c>
      <c r="D65" s="3">
        <v>36000</v>
      </c>
      <c r="E65" s="3">
        <v>5</v>
      </c>
      <c r="F65" s="3">
        <v>17020</v>
      </c>
      <c r="G65" s="3">
        <f t="shared" si="0"/>
        <v>18980</v>
      </c>
    </row>
    <row r="66" spans="1:7" x14ac:dyDescent="0.3">
      <c r="A66" s="3">
        <v>64</v>
      </c>
      <c r="B66" s="3">
        <v>170</v>
      </c>
      <c r="C66" s="3">
        <v>36000</v>
      </c>
      <c r="D66" s="3">
        <v>36000</v>
      </c>
      <c r="E66" s="3">
        <v>3</v>
      </c>
      <c r="F66" s="3">
        <v>17020</v>
      </c>
      <c r="G66" s="3">
        <f t="shared" si="0"/>
        <v>18980</v>
      </c>
    </row>
    <row r="67" spans="1:7" x14ac:dyDescent="0.3">
      <c r="A67" s="3">
        <v>65</v>
      </c>
      <c r="B67" s="3">
        <f>IF(E67&lt;=16,32*2+(28+10*E67)*0.5,32*2+(33+10*E67)*0.5)</f>
        <v>88</v>
      </c>
      <c r="C67" s="3">
        <v>2000</v>
      </c>
      <c r="D67" s="3">
        <v>2000</v>
      </c>
      <c r="E67" s="3">
        <v>2</v>
      </c>
      <c r="F67" s="3">
        <v>246</v>
      </c>
      <c r="G67" s="3">
        <f t="shared" ref="G67:G130" si="1">C67-F67</f>
        <v>1754</v>
      </c>
    </row>
    <row r="68" spans="1:7" x14ac:dyDescent="0.3">
      <c r="A68" s="3">
        <v>66</v>
      </c>
      <c r="B68" s="3">
        <f t="shared" ref="B68:B107" si="2">IF(E68&lt;=16,32*2+(28+10*E68)*0.5,32*2+(33+10*E68)*0.5)</f>
        <v>83</v>
      </c>
      <c r="C68" s="3">
        <v>2000</v>
      </c>
      <c r="D68" s="3">
        <v>2000</v>
      </c>
      <c r="E68" s="3">
        <v>1</v>
      </c>
      <c r="F68" s="3">
        <v>329</v>
      </c>
      <c r="G68" s="3">
        <f t="shared" si="1"/>
        <v>1671</v>
      </c>
    </row>
    <row r="69" spans="1:7" x14ac:dyDescent="0.3">
      <c r="A69" s="3">
        <v>67</v>
      </c>
      <c r="B69" s="3">
        <f t="shared" si="2"/>
        <v>93</v>
      </c>
      <c r="C69" s="3">
        <v>2000</v>
      </c>
      <c r="D69" s="3">
        <v>2000</v>
      </c>
      <c r="E69" s="3">
        <v>3</v>
      </c>
      <c r="F69" s="3">
        <v>422</v>
      </c>
      <c r="G69" s="3">
        <f t="shared" si="1"/>
        <v>1578</v>
      </c>
    </row>
    <row r="70" spans="1:7" x14ac:dyDescent="0.3">
      <c r="A70" s="3">
        <v>68</v>
      </c>
      <c r="B70" s="3">
        <f t="shared" si="2"/>
        <v>108</v>
      </c>
      <c r="C70" s="3">
        <v>2000</v>
      </c>
      <c r="D70" s="3">
        <v>2000</v>
      </c>
      <c r="E70" s="3">
        <v>6</v>
      </c>
      <c r="F70" s="3">
        <v>530</v>
      </c>
      <c r="G70" s="3">
        <f t="shared" si="1"/>
        <v>1470</v>
      </c>
    </row>
    <row r="71" spans="1:7" x14ac:dyDescent="0.3">
      <c r="A71" s="3">
        <v>69</v>
      </c>
      <c r="B71" s="3">
        <f t="shared" si="2"/>
        <v>108</v>
      </c>
      <c r="C71" s="3">
        <v>2000</v>
      </c>
      <c r="D71" s="3">
        <v>2000</v>
      </c>
      <c r="E71" s="3">
        <v>6</v>
      </c>
      <c r="F71" s="3">
        <v>638</v>
      </c>
      <c r="G71" s="3">
        <f t="shared" si="1"/>
        <v>1362</v>
      </c>
    </row>
    <row r="72" spans="1:7" x14ac:dyDescent="0.3">
      <c r="A72" s="3">
        <v>70</v>
      </c>
      <c r="B72" s="3">
        <f t="shared" si="2"/>
        <v>118</v>
      </c>
      <c r="C72" s="3">
        <v>3000</v>
      </c>
      <c r="D72" s="3">
        <v>3000</v>
      </c>
      <c r="E72" s="3">
        <v>8</v>
      </c>
      <c r="F72" s="3">
        <v>756</v>
      </c>
      <c r="G72" s="3">
        <f t="shared" si="1"/>
        <v>2244</v>
      </c>
    </row>
    <row r="73" spans="1:7" x14ac:dyDescent="0.3">
      <c r="A73" s="3">
        <v>71</v>
      </c>
      <c r="B73" s="3">
        <f t="shared" si="2"/>
        <v>113</v>
      </c>
      <c r="C73" s="3">
        <v>3000</v>
      </c>
      <c r="D73" s="3">
        <v>3000</v>
      </c>
      <c r="E73" s="3">
        <v>7</v>
      </c>
      <c r="F73" s="3">
        <v>869</v>
      </c>
      <c r="G73" s="3">
        <f t="shared" si="1"/>
        <v>2131</v>
      </c>
    </row>
    <row r="74" spans="1:7" x14ac:dyDescent="0.3">
      <c r="A74" s="3">
        <v>72</v>
      </c>
      <c r="B74" s="3">
        <f t="shared" si="2"/>
        <v>93</v>
      </c>
      <c r="C74" s="3">
        <v>3000</v>
      </c>
      <c r="D74" s="3">
        <v>3000</v>
      </c>
      <c r="E74" s="3">
        <v>3</v>
      </c>
      <c r="F74" s="3">
        <v>962</v>
      </c>
      <c r="G74" s="3">
        <f t="shared" si="1"/>
        <v>2038</v>
      </c>
    </row>
    <row r="75" spans="1:7" x14ac:dyDescent="0.3">
      <c r="A75" s="3">
        <v>73</v>
      </c>
      <c r="B75" s="3">
        <f t="shared" si="2"/>
        <v>118</v>
      </c>
      <c r="C75" s="3">
        <v>3000</v>
      </c>
      <c r="D75" s="3">
        <v>3000</v>
      </c>
      <c r="E75" s="3">
        <v>8</v>
      </c>
      <c r="F75" s="3">
        <v>1080</v>
      </c>
      <c r="G75" s="3">
        <f t="shared" si="1"/>
        <v>1920</v>
      </c>
    </row>
    <row r="76" spans="1:7" x14ac:dyDescent="0.3">
      <c r="A76" s="3">
        <v>74</v>
      </c>
      <c r="B76" s="3">
        <f t="shared" si="2"/>
        <v>88</v>
      </c>
      <c r="C76" s="3">
        <v>5000</v>
      </c>
      <c r="D76" s="3">
        <v>5000</v>
      </c>
      <c r="E76" s="3">
        <v>2</v>
      </c>
      <c r="F76" s="3">
        <v>1168</v>
      </c>
      <c r="G76" s="3">
        <f t="shared" si="1"/>
        <v>3832</v>
      </c>
    </row>
    <row r="77" spans="1:7" x14ac:dyDescent="0.3">
      <c r="A77" s="3">
        <v>75</v>
      </c>
      <c r="B77" s="3">
        <f t="shared" si="2"/>
        <v>103</v>
      </c>
      <c r="C77" s="3">
        <v>5000</v>
      </c>
      <c r="D77" s="3">
        <v>5000</v>
      </c>
      <c r="E77" s="3">
        <v>5</v>
      </c>
      <c r="F77" s="3">
        <v>1271</v>
      </c>
      <c r="G77" s="3">
        <f t="shared" si="1"/>
        <v>3729</v>
      </c>
    </row>
    <row r="78" spans="1:7" x14ac:dyDescent="0.3">
      <c r="A78" s="3">
        <v>76</v>
      </c>
      <c r="B78" s="3">
        <f t="shared" si="2"/>
        <v>103</v>
      </c>
      <c r="C78" s="3">
        <v>25000</v>
      </c>
      <c r="D78" s="3">
        <v>25000</v>
      </c>
      <c r="E78" s="3">
        <v>5</v>
      </c>
      <c r="F78" s="3">
        <v>1374</v>
      </c>
      <c r="G78" s="3">
        <f t="shared" si="1"/>
        <v>23626</v>
      </c>
    </row>
    <row r="79" spans="1:7" x14ac:dyDescent="0.3">
      <c r="A79" s="3">
        <v>77</v>
      </c>
      <c r="B79" s="3">
        <f t="shared" si="2"/>
        <v>98</v>
      </c>
      <c r="C79" s="3">
        <v>25000</v>
      </c>
      <c r="D79" s="3">
        <v>25000</v>
      </c>
      <c r="E79" s="3">
        <v>4</v>
      </c>
      <c r="F79" s="3">
        <v>1472</v>
      </c>
      <c r="G79" s="3">
        <f t="shared" si="1"/>
        <v>23528</v>
      </c>
    </row>
    <row r="80" spans="1:7" x14ac:dyDescent="0.3">
      <c r="A80" s="3">
        <v>78</v>
      </c>
      <c r="B80" s="3">
        <f t="shared" si="2"/>
        <v>93</v>
      </c>
      <c r="C80" s="3">
        <v>25000</v>
      </c>
      <c r="D80" s="3">
        <v>25000</v>
      </c>
      <c r="E80" s="3">
        <v>3</v>
      </c>
      <c r="F80" s="3">
        <v>1565</v>
      </c>
      <c r="G80" s="3">
        <f t="shared" si="1"/>
        <v>23435</v>
      </c>
    </row>
    <row r="81" spans="1:7" x14ac:dyDescent="0.3">
      <c r="A81" s="3">
        <v>79</v>
      </c>
      <c r="B81" s="3">
        <f t="shared" si="2"/>
        <v>118</v>
      </c>
      <c r="C81" s="3">
        <v>1000000</v>
      </c>
      <c r="D81" s="3">
        <v>1000000</v>
      </c>
      <c r="E81" s="3">
        <v>8</v>
      </c>
      <c r="F81" s="3">
        <v>1683</v>
      </c>
      <c r="G81" s="3">
        <f t="shared" si="1"/>
        <v>998317</v>
      </c>
    </row>
    <row r="82" spans="1:7" x14ac:dyDescent="0.3">
      <c r="A82" s="3">
        <v>80</v>
      </c>
      <c r="B82" s="3">
        <f t="shared" si="2"/>
        <v>83</v>
      </c>
      <c r="C82" s="3">
        <v>100000</v>
      </c>
      <c r="D82" s="3">
        <v>100000</v>
      </c>
      <c r="E82" s="3">
        <v>1</v>
      </c>
      <c r="F82" s="3">
        <v>1766</v>
      </c>
      <c r="G82" s="3">
        <f t="shared" si="1"/>
        <v>98234</v>
      </c>
    </row>
    <row r="83" spans="1:7" x14ac:dyDescent="0.3">
      <c r="A83" s="3">
        <v>81</v>
      </c>
      <c r="B83" s="3">
        <f t="shared" si="2"/>
        <v>103</v>
      </c>
      <c r="C83" s="3">
        <v>100000</v>
      </c>
      <c r="D83" s="3">
        <v>100000</v>
      </c>
      <c r="E83" s="3">
        <v>5</v>
      </c>
      <c r="F83" s="3">
        <v>1869</v>
      </c>
      <c r="G83" s="3">
        <f t="shared" si="1"/>
        <v>98131</v>
      </c>
    </row>
    <row r="84" spans="1:7" x14ac:dyDescent="0.3">
      <c r="A84" s="3">
        <v>82</v>
      </c>
      <c r="B84" s="3">
        <f t="shared" si="2"/>
        <v>103</v>
      </c>
      <c r="C84" s="3">
        <v>100000</v>
      </c>
      <c r="D84" s="3">
        <v>100000</v>
      </c>
      <c r="E84" s="3">
        <v>5</v>
      </c>
      <c r="F84" s="3">
        <v>1972</v>
      </c>
      <c r="G84" s="3">
        <f t="shared" si="1"/>
        <v>98028</v>
      </c>
    </row>
    <row r="85" spans="1:7" x14ac:dyDescent="0.3">
      <c r="A85" s="3">
        <v>83</v>
      </c>
      <c r="B85" s="3">
        <f t="shared" si="2"/>
        <v>108</v>
      </c>
      <c r="C85" s="3">
        <v>100000</v>
      </c>
      <c r="D85" s="3">
        <v>100000</v>
      </c>
      <c r="E85" s="3">
        <v>6</v>
      </c>
      <c r="F85" s="3">
        <v>2080</v>
      </c>
      <c r="G85" s="3">
        <f t="shared" si="1"/>
        <v>97920</v>
      </c>
    </row>
    <row r="86" spans="1:7" x14ac:dyDescent="0.3">
      <c r="A86" s="3">
        <v>84</v>
      </c>
      <c r="B86" s="3">
        <f t="shared" si="2"/>
        <v>158</v>
      </c>
      <c r="C86" s="3">
        <v>100000</v>
      </c>
      <c r="D86" s="3">
        <v>100000</v>
      </c>
      <c r="E86" s="3">
        <v>16</v>
      </c>
      <c r="F86" s="3">
        <v>2718</v>
      </c>
      <c r="G86" s="3">
        <f t="shared" si="1"/>
        <v>97282</v>
      </c>
    </row>
    <row r="87" spans="1:7" x14ac:dyDescent="0.3">
      <c r="A87" s="3">
        <v>85</v>
      </c>
      <c r="B87" s="3">
        <f t="shared" si="2"/>
        <v>83</v>
      </c>
      <c r="C87" s="3">
        <v>100000</v>
      </c>
      <c r="D87" s="3">
        <v>100000</v>
      </c>
      <c r="E87" s="3">
        <v>1</v>
      </c>
      <c r="F87" s="3">
        <v>2801</v>
      </c>
      <c r="G87" s="3">
        <f t="shared" si="1"/>
        <v>97199</v>
      </c>
    </row>
    <row r="88" spans="1:7" x14ac:dyDescent="0.3">
      <c r="A88" s="3">
        <v>86</v>
      </c>
      <c r="B88" s="3">
        <f t="shared" si="2"/>
        <v>118</v>
      </c>
      <c r="C88" s="3">
        <v>200000</v>
      </c>
      <c r="D88" s="3">
        <v>200000</v>
      </c>
      <c r="E88" s="3">
        <v>8</v>
      </c>
      <c r="F88" s="3">
        <v>2919</v>
      </c>
      <c r="G88" s="3">
        <f t="shared" si="1"/>
        <v>197081</v>
      </c>
    </row>
    <row r="89" spans="1:7" x14ac:dyDescent="0.3">
      <c r="A89" s="3">
        <v>87</v>
      </c>
      <c r="B89" s="3">
        <f t="shared" si="2"/>
        <v>118</v>
      </c>
      <c r="C89" s="3">
        <v>1600000</v>
      </c>
      <c r="D89" s="3">
        <v>1600000</v>
      </c>
      <c r="E89" s="3">
        <v>8</v>
      </c>
      <c r="F89" s="3">
        <v>3037</v>
      </c>
      <c r="G89" s="3">
        <f t="shared" si="1"/>
        <v>1596963</v>
      </c>
    </row>
    <row r="90" spans="1:7" x14ac:dyDescent="0.3">
      <c r="A90" s="3">
        <v>88</v>
      </c>
      <c r="B90" s="3">
        <f t="shared" si="2"/>
        <v>118</v>
      </c>
      <c r="C90" s="3">
        <v>200000</v>
      </c>
      <c r="D90" s="3">
        <v>200000</v>
      </c>
      <c r="E90" s="3">
        <v>8</v>
      </c>
      <c r="F90" s="3">
        <v>3597</v>
      </c>
      <c r="G90" s="3">
        <f t="shared" si="1"/>
        <v>196403</v>
      </c>
    </row>
    <row r="91" spans="1:7" x14ac:dyDescent="0.3">
      <c r="A91" s="3">
        <v>89</v>
      </c>
      <c r="B91" s="3">
        <f t="shared" si="2"/>
        <v>118</v>
      </c>
      <c r="C91" s="3">
        <v>250000</v>
      </c>
      <c r="D91" s="3">
        <v>250000</v>
      </c>
      <c r="E91" s="3">
        <v>8</v>
      </c>
      <c r="F91" s="3">
        <v>3715</v>
      </c>
      <c r="G91" s="3">
        <f t="shared" si="1"/>
        <v>246285</v>
      </c>
    </row>
    <row r="92" spans="1:7" x14ac:dyDescent="0.3">
      <c r="A92" s="3">
        <v>90</v>
      </c>
      <c r="B92" s="3">
        <f t="shared" si="2"/>
        <v>83</v>
      </c>
      <c r="C92" s="3">
        <v>250000</v>
      </c>
      <c r="D92" s="3">
        <v>250000</v>
      </c>
      <c r="E92" s="3">
        <v>1</v>
      </c>
      <c r="F92" s="3">
        <v>3798</v>
      </c>
      <c r="G92" s="3">
        <f t="shared" si="1"/>
        <v>246202</v>
      </c>
    </row>
    <row r="93" spans="1:7" x14ac:dyDescent="0.3">
      <c r="A93" s="3">
        <v>91</v>
      </c>
      <c r="B93" s="3">
        <f t="shared" si="2"/>
        <v>88</v>
      </c>
      <c r="C93" s="3">
        <v>1000000</v>
      </c>
      <c r="D93" s="3">
        <v>1000000</v>
      </c>
      <c r="E93" s="3">
        <v>2</v>
      </c>
      <c r="F93" s="3">
        <v>3886</v>
      </c>
      <c r="G93" s="3">
        <f t="shared" si="1"/>
        <v>996114</v>
      </c>
    </row>
    <row r="94" spans="1:7" x14ac:dyDescent="0.3">
      <c r="A94" s="3">
        <v>92</v>
      </c>
      <c r="B94" s="3">
        <f t="shared" si="2"/>
        <v>118</v>
      </c>
      <c r="C94" s="3">
        <v>250000</v>
      </c>
      <c r="D94" s="3">
        <v>250000</v>
      </c>
      <c r="E94" s="3">
        <v>8</v>
      </c>
      <c r="F94" s="3">
        <v>4004</v>
      </c>
      <c r="G94" s="3">
        <f t="shared" si="1"/>
        <v>245996</v>
      </c>
    </row>
    <row r="95" spans="1:7" x14ac:dyDescent="0.3">
      <c r="A95" s="3">
        <v>93</v>
      </c>
      <c r="B95" s="3">
        <f t="shared" si="2"/>
        <v>118</v>
      </c>
      <c r="C95" s="3">
        <v>1000000</v>
      </c>
      <c r="D95" s="3">
        <v>1000000</v>
      </c>
      <c r="E95" s="3">
        <v>8</v>
      </c>
      <c r="F95" s="3">
        <v>4602</v>
      </c>
      <c r="G95" s="3">
        <f t="shared" si="1"/>
        <v>995398</v>
      </c>
    </row>
    <row r="96" spans="1:7" x14ac:dyDescent="0.3">
      <c r="A96" s="3">
        <v>94</v>
      </c>
      <c r="B96" s="3">
        <f t="shared" si="2"/>
        <v>118</v>
      </c>
      <c r="C96" s="3">
        <v>1000000</v>
      </c>
      <c r="D96" s="3">
        <v>1000000</v>
      </c>
      <c r="E96" s="3">
        <v>8</v>
      </c>
      <c r="F96" s="3">
        <v>4720</v>
      </c>
      <c r="G96" s="3">
        <f t="shared" si="1"/>
        <v>995280</v>
      </c>
    </row>
    <row r="97" spans="1:7" x14ac:dyDescent="0.3">
      <c r="A97" s="3">
        <v>95</v>
      </c>
      <c r="B97" s="3">
        <f t="shared" si="2"/>
        <v>118</v>
      </c>
      <c r="C97" s="3">
        <v>1000000</v>
      </c>
      <c r="D97" s="3">
        <v>1000000</v>
      </c>
      <c r="E97" s="3">
        <v>8</v>
      </c>
      <c r="F97" s="3">
        <v>4838</v>
      </c>
      <c r="G97" s="3">
        <f t="shared" si="1"/>
        <v>995162</v>
      </c>
    </row>
    <row r="98" spans="1:7" x14ac:dyDescent="0.3">
      <c r="A98" s="3">
        <v>96</v>
      </c>
      <c r="B98" s="3">
        <f t="shared" si="2"/>
        <v>118</v>
      </c>
      <c r="C98" s="3">
        <v>1000000</v>
      </c>
      <c r="D98" s="3">
        <v>1000000</v>
      </c>
      <c r="E98" s="3">
        <v>8</v>
      </c>
      <c r="F98" s="3">
        <v>4956</v>
      </c>
      <c r="G98" s="3">
        <f t="shared" si="1"/>
        <v>995044</v>
      </c>
    </row>
    <row r="99" spans="1:7" x14ac:dyDescent="0.3">
      <c r="A99" s="3">
        <v>97</v>
      </c>
      <c r="B99" s="3">
        <f t="shared" si="2"/>
        <v>88</v>
      </c>
      <c r="C99" s="3">
        <v>1000000</v>
      </c>
      <c r="D99" s="3">
        <v>1000000</v>
      </c>
      <c r="E99" s="3">
        <v>2</v>
      </c>
      <c r="F99" s="3">
        <v>5044</v>
      </c>
      <c r="G99" s="3">
        <f t="shared" si="1"/>
        <v>994956</v>
      </c>
    </row>
    <row r="100" spans="1:7" x14ac:dyDescent="0.3">
      <c r="A100" s="3">
        <v>98</v>
      </c>
      <c r="B100" s="3">
        <f t="shared" si="2"/>
        <v>158</v>
      </c>
      <c r="C100" s="3">
        <v>1000000</v>
      </c>
      <c r="D100" s="3">
        <v>1000000</v>
      </c>
      <c r="E100" s="3">
        <v>16</v>
      </c>
      <c r="F100" s="3">
        <v>5353</v>
      </c>
      <c r="G100" s="3">
        <f t="shared" si="1"/>
        <v>994647</v>
      </c>
    </row>
    <row r="101" spans="1:7" x14ac:dyDescent="0.3">
      <c r="A101" s="3">
        <v>99</v>
      </c>
      <c r="B101" s="3">
        <f t="shared" si="2"/>
        <v>93</v>
      </c>
      <c r="C101" s="3">
        <v>1000000</v>
      </c>
      <c r="D101" s="3">
        <v>1000000</v>
      </c>
      <c r="E101" s="3">
        <v>3</v>
      </c>
      <c r="F101" s="3">
        <v>5446</v>
      </c>
      <c r="G101" s="3">
        <f t="shared" si="1"/>
        <v>994554</v>
      </c>
    </row>
    <row r="102" spans="1:7" x14ac:dyDescent="0.3">
      <c r="A102" s="3">
        <v>100</v>
      </c>
      <c r="B102" s="3">
        <f t="shared" si="2"/>
        <v>88</v>
      </c>
      <c r="C102" s="3">
        <v>1000000</v>
      </c>
      <c r="D102" s="3">
        <v>1000000</v>
      </c>
      <c r="E102" s="3">
        <v>2</v>
      </c>
      <c r="F102" s="3">
        <v>5534</v>
      </c>
      <c r="G102" s="3">
        <f t="shared" si="1"/>
        <v>994466</v>
      </c>
    </row>
    <row r="103" spans="1:7" x14ac:dyDescent="0.3">
      <c r="A103" s="3">
        <v>101</v>
      </c>
      <c r="B103" s="3">
        <f t="shared" si="2"/>
        <v>98</v>
      </c>
      <c r="C103" s="3">
        <v>1000000</v>
      </c>
      <c r="D103" s="3">
        <v>1000000</v>
      </c>
      <c r="E103" s="3">
        <v>4</v>
      </c>
      <c r="F103" s="3">
        <v>5632</v>
      </c>
      <c r="G103" s="3">
        <f t="shared" si="1"/>
        <v>994368</v>
      </c>
    </row>
    <row r="104" spans="1:7" x14ac:dyDescent="0.3">
      <c r="A104" s="3">
        <v>102</v>
      </c>
      <c r="B104" s="3">
        <f t="shared" si="2"/>
        <v>118</v>
      </c>
      <c r="C104" s="3">
        <v>1000000</v>
      </c>
      <c r="D104" s="3">
        <v>1000000</v>
      </c>
      <c r="E104" s="3">
        <v>8</v>
      </c>
      <c r="F104" s="3">
        <v>5750</v>
      </c>
      <c r="G104" s="3">
        <f t="shared" si="1"/>
        <v>994250</v>
      </c>
    </row>
    <row r="105" spans="1:7" x14ac:dyDescent="0.3">
      <c r="A105" s="3">
        <v>103</v>
      </c>
      <c r="B105" s="3">
        <f t="shared" si="2"/>
        <v>118</v>
      </c>
      <c r="C105" s="3">
        <v>160000</v>
      </c>
      <c r="D105" s="3">
        <v>160000</v>
      </c>
      <c r="E105" s="3">
        <v>8</v>
      </c>
      <c r="F105" s="3">
        <v>5868</v>
      </c>
      <c r="G105" s="3">
        <f t="shared" si="1"/>
        <v>154132</v>
      </c>
    </row>
    <row r="106" spans="1:7" x14ac:dyDescent="0.3">
      <c r="A106" s="3">
        <v>104</v>
      </c>
      <c r="B106" s="3">
        <f t="shared" si="2"/>
        <v>118</v>
      </c>
      <c r="C106" s="3">
        <v>160000</v>
      </c>
      <c r="D106" s="3">
        <v>160000</v>
      </c>
      <c r="E106" s="3">
        <v>8</v>
      </c>
      <c r="F106" s="3">
        <v>5986</v>
      </c>
      <c r="G106" s="3">
        <f t="shared" si="1"/>
        <v>154014</v>
      </c>
    </row>
    <row r="107" spans="1:7" x14ac:dyDescent="0.3">
      <c r="A107" s="3">
        <v>105</v>
      </c>
      <c r="B107" s="3">
        <f t="shared" si="2"/>
        <v>118</v>
      </c>
      <c r="C107" s="3">
        <v>200000</v>
      </c>
      <c r="D107" s="3">
        <v>200000</v>
      </c>
      <c r="E107" s="3">
        <v>8</v>
      </c>
      <c r="F107" s="3">
        <v>5986</v>
      </c>
      <c r="G107" s="3">
        <f t="shared" si="1"/>
        <v>194014</v>
      </c>
    </row>
    <row r="108" spans="1:7" x14ac:dyDescent="0.3">
      <c r="A108" s="3">
        <v>106</v>
      </c>
      <c r="B108" s="3">
        <f>IF(E108&lt;=16,32*2+(28+10*E108)*0.5,32*2+(33+10*E108)*0.5)</f>
        <v>88</v>
      </c>
      <c r="C108" s="3">
        <v>2000</v>
      </c>
      <c r="D108" s="3">
        <v>2000</v>
      </c>
      <c r="E108" s="3">
        <v>2</v>
      </c>
      <c r="F108" s="3">
        <v>268</v>
      </c>
      <c r="G108" s="3">
        <f t="shared" si="1"/>
        <v>1732</v>
      </c>
    </row>
    <row r="109" spans="1:7" x14ac:dyDescent="0.3">
      <c r="A109" s="3">
        <v>107</v>
      </c>
      <c r="B109" s="3">
        <f>IF(E109&lt;=16,32*2+(28+10*E109)*0.5,32*2+(33+10*E109)*0.5)</f>
        <v>83</v>
      </c>
      <c r="C109" s="3">
        <v>2000</v>
      </c>
      <c r="D109" s="3">
        <v>2000</v>
      </c>
      <c r="E109" s="3">
        <v>1</v>
      </c>
      <c r="F109" s="3">
        <v>351</v>
      </c>
      <c r="G109" s="3">
        <f t="shared" si="1"/>
        <v>1649</v>
      </c>
    </row>
    <row r="110" spans="1:7" x14ac:dyDescent="0.3">
      <c r="A110" s="3">
        <v>108</v>
      </c>
      <c r="B110" s="3">
        <f>IF(E110&lt;=16,32*2+(28+10*E110)*0.5,32*2+(33+10*E110)*0.5)</f>
        <v>83</v>
      </c>
      <c r="C110" s="3">
        <v>2000</v>
      </c>
      <c r="D110" s="3">
        <v>2000</v>
      </c>
      <c r="E110" s="3">
        <v>1</v>
      </c>
      <c r="F110" s="3">
        <v>434</v>
      </c>
      <c r="G110" s="3">
        <f t="shared" si="1"/>
        <v>1566</v>
      </c>
    </row>
    <row r="111" spans="1:7" x14ac:dyDescent="0.3">
      <c r="A111" s="3">
        <v>109</v>
      </c>
      <c r="B111" s="3">
        <f t="shared" ref="B111:B174" si="3">IF(E111&lt;=16,32*2+(28+10*E111)*0.5,32*2+(33+10*E111)*0.5)</f>
        <v>98</v>
      </c>
      <c r="C111" s="3">
        <v>5000</v>
      </c>
      <c r="D111" s="3">
        <v>5000</v>
      </c>
      <c r="E111" s="3">
        <v>4</v>
      </c>
      <c r="F111" s="3">
        <v>532</v>
      </c>
      <c r="G111" s="3">
        <f t="shared" si="1"/>
        <v>4468</v>
      </c>
    </row>
    <row r="112" spans="1:7" x14ac:dyDescent="0.3">
      <c r="A112" s="3">
        <v>110</v>
      </c>
      <c r="B112" s="3">
        <f t="shared" si="3"/>
        <v>98</v>
      </c>
      <c r="C112" s="3">
        <v>5000</v>
      </c>
      <c r="D112" s="3">
        <v>5000</v>
      </c>
      <c r="E112" s="3">
        <v>4</v>
      </c>
      <c r="F112" s="3">
        <v>630</v>
      </c>
      <c r="G112" s="3">
        <f t="shared" si="1"/>
        <v>4370</v>
      </c>
    </row>
    <row r="113" spans="1:7" x14ac:dyDescent="0.3">
      <c r="A113" s="3">
        <v>111</v>
      </c>
      <c r="B113" s="3">
        <f t="shared" si="3"/>
        <v>98</v>
      </c>
      <c r="C113" s="3">
        <v>5000</v>
      </c>
      <c r="D113" s="3">
        <v>5000</v>
      </c>
      <c r="E113" s="3">
        <v>4</v>
      </c>
      <c r="F113" s="3">
        <v>728</v>
      </c>
      <c r="G113" s="3">
        <f t="shared" si="1"/>
        <v>4272</v>
      </c>
    </row>
    <row r="114" spans="1:7" x14ac:dyDescent="0.3">
      <c r="A114" s="3">
        <v>112</v>
      </c>
      <c r="B114" s="3">
        <f t="shared" si="3"/>
        <v>118</v>
      </c>
      <c r="C114" s="3">
        <v>10000</v>
      </c>
      <c r="D114" s="3">
        <v>10000</v>
      </c>
      <c r="E114" s="3">
        <v>8</v>
      </c>
      <c r="F114" s="3">
        <v>846</v>
      </c>
      <c r="G114" s="3">
        <f t="shared" si="1"/>
        <v>9154</v>
      </c>
    </row>
    <row r="115" spans="1:7" x14ac:dyDescent="0.3">
      <c r="A115" s="3">
        <v>113</v>
      </c>
      <c r="B115" s="3">
        <f t="shared" si="3"/>
        <v>138</v>
      </c>
      <c r="C115" s="3">
        <v>10000</v>
      </c>
      <c r="D115" s="3">
        <v>10000</v>
      </c>
      <c r="E115" s="3">
        <v>12</v>
      </c>
      <c r="F115" s="3">
        <v>984</v>
      </c>
      <c r="G115" s="3">
        <f t="shared" si="1"/>
        <v>9016</v>
      </c>
    </row>
    <row r="116" spans="1:7" x14ac:dyDescent="0.3">
      <c r="A116" s="3">
        <v>114</v>
      </c>
      <c r="B116" s="3">
        <f t="shared" si="3"/>
        <v>108</v>
      </c>
      <c r="C116" s="3">
        <v>10000</v>
      </c>
      <c r="D116" s="3">
        <v>10000</v>
      </c>
      <c r="E116" s="3">
        <v>6</v>
      </c>
      <c r="F116" s="3">
        <v>1092</v>
      </c>
      <c r="G116" s="3">
        <f t="shared" si="1"/>
        <v>8908</v>
      </c>
    </row>
    <row r="117" spans="1:7" x14ac:dyDescent="0.3">
      <c r="A117" s="3">
        <v>115</v>
      </c>
      <c r="B117" s="3">
        <f t="shared" si="3"/>
        <v>138</v>
      </c>
      <c r="C117" s="3">
        <v>10000</v>
      </c>
      <c r="D117" s="3">
        <v>10000</v>
      </c>
      <c r="E117" s="3">
        <v>12</v>
      </c>
      <c r="F117" s="3">
        <v>1230</v>
      </c>
      <c r="G117" s="3">
        <f t="shared" si="1"/>
        <v>8770</v>
      </c>
    </row>
    <row r="118" spans="1:7" x14ac:dyDescent="0.3">
      <c r="A118" s="3">
        <v>116</v>
      </c>
      <c r="B118" s="3">
        <f t="shared" si="3"/>
        <v>113</v>
      </c>
      <c r="C118" s="3">
        <v>10000</v>
      </c>
      <c r="D118" s="3">
        <v>10000</v>
      </c>
      <c r="E118" s="3">
        <v>7</v>
      </c>
      <c r="F118" s="3">
        <v>1343</v>
      </c>
      <c r="G118" s="3">
        <f t="shared" si="1"/>
        <v>8657</v>
      </c>
    </row>
    <row r="119" spans="1:7" x14ac:dyDescent="0.3">
      <c r="A119" s="3">
        <v>117</v>
      </c>
      <c r="B119" s="3">
        <f t="shared" si="3"/>
        <v>88</v>
      </c>
      <c r="C119" s="3">
        <v>10000</v>
      </c>
      <c r="D119" s="3">
        <v>10000</v>
      </c>
      <c r="E119" s="3">
        <v>2</v>
      </c>
      <c r="F119" s="3">
        <v>1431</v>
      </c>
      <c r="G119" s="3">
        <f t="shared" si="1"/>
        <v>8569</v>
      </c>
    </row>
    <row r="120" spans="1:7" x14ac:dyDescent="0.3">
      <c r="A120" s="3">
        <v>118</v>
      </c>
      <c r="B120" s="3">
        <f t="shared" si="3"/>
        <v>180.5</v>
      </c>
      <c r="C120" s="3">
        <v>12000</v>
      </c>
      <c r="D120" s="3">
        <v>12000</v>
      </c>
      <c r="E120" s="3">
        <v>20</v>
      </c>
      <c r="F120" s="3">
        <v>1611</v>
      </c>
      <c r="G120" s="3">
        <f t="shared" si="1"/>
        <v>10389</v>
      </c>
    </row>
    <row r="121" spans="1:7" x14ac:dyDescent="0.3">
      <c r="A121" s="3">
        <v>119</v>
      </c>
      <c r="B121" s="3">
        <f t="shared" si="3"/>
        <v>108</v>
      </c>
      <c r="C121" s="3">
        <v>12000</v>
      </c>
      <c r="D121" s="3">
        <v>12000</v>
      </c>
      <c r="E121" s="3">
        <v>6</v>
      </c>
      <c r="F121" s="3">
        <v>1719</v>
      </c>
      <c r="G121" s="3">
        <f t="shared" si="1"/>
        <v>10281</v>
      </c>
    </row>
    <row r="122" spans="1:7" x14ac:dyDescent="0.3">
      <c r="A122" s="3">
        <v>120</v>
      </c>
      <c r="B122" s="3">
        <f t="shared" si="3"/>
        <v>118</v>
      </c>
      <c r="C122" s="3">
        <v>12000</v>
      </c>
      <c r="D122" s="3">
        <v>12000</v>
      </c>
      <c r="E122" s="3">
        <v>8</v>
      </c>
      <c r="F122" s="3">
        <v>1837</v>
      </c>
      <c r="G122" s="3">
        <f t="shared" si="1"/>
        <v>10163</v>
      </c>
    </row>
    <row r="123" spans="1:7" x14ac:dyDescent="0.3">
      <c r="A123" s="3">
        <v>121</v>
      </c>
      <c r="B123" s="3">
        <f t="shared" si="3"/>
        <v>118</v>
      </c>
      <c r="C123" s="3">
        <v>12000</v>
      </c>
      <c r="D123" s="3">
        <v>12000</v>
      </c>
      <c r="E123" s="3">
        <v>8</v>
      </c>
      <c r="F123" s="3">
        <v>1955</v>
      </c>
      <c r="G123" s="3">
        <f t="shared" si="1"/>
        <v>10045</v>
      </c>
    </row>
    <row r="124" spans="1:7" x14ac:dyDescent="0.3">
      <c r="A124" s="3">
        <v>122</v>
      </c>
      <c r="B124" s="3">
        <f t="shared" si="3"/>
        <v>113</v>
      </c>
      <c r="C124" s="3">
        <v>12000</v>
      </c>
      <c r="D124" s="3">
        <v>12000</v>
      </c>
      <c r="E124" s="3">
        <v>7</v>
      </c>
      <c r="F124" s="3">
        <v>2068</v>
      </c>
      <c r="G124" s="3">
        <f t="shared" si="1"/>
        <v>9932</v>
      </c>
    </row>
    <row r="125" spans="1:7" x14ac:dyDescent="0.3">
      <c r="A125" s="3">
        <v>123</v>
      </c>
      <c r="B125" s="3">
        <f t="shared" si="3"/>
        <v>118</v>
      </c>
      <c r="C125" s="3">
        <v>12000</v>
      </c>
      <c r="D125" s="3">
        <v>12000</v>
      </c>
      <c r="E125" s="3">
        <v>8</v>
      </c>
      <c r="F125" s="3">
        <v>2440</v>
      </c>
      <c r="G125" s="3">
        <f t="shared" si="1"/>
        <v>9560</v>
      </c>
    </row>
    <row r="126" spans="1:7" x14ac:dyDescent="0.3">
      <c r="A126" s="3">
        <v>124</v>
      </c>
      <c r="B126" s="3">
        <f t="shared" si="3"/>
        <v>83</v>
      </c>
      <c r="C126" s="3">
        <v>12000</v>
      </c>
      <c r="D126" s="3">
        <v>12000</v>
      </c>
      <c r="E126" s="3">
        <v>1</v>
      </c>
      <c r="F126" s="3">
        <v>2523</v>
      </c>
      <c r="G126" s="3">
        <f t="shared" si="1"/>
        <v>9477</v>
      </c>
    </row>
    <row r="127" spans="1:7" x14ac:dyDescent="0.3">
      <c r="A127" s="3">
        <v>125</v>
      </c>
      <c r="B127" s="3">
        <f t="shared" si="3"/>
        <v>118</v>
      </c>
      <c r="C127" s="3">
        <v>12000</v>
      </c>
      <c r="D127" s="3">
        <v>12000</v>
      </c>
      <c r="E127" s="3">
        <v>8</v>
      </c>
      <c r="F127" s="3">
        <v>2641</v>
      </c>
      <c r="G127" s="3">
        <f t="shared" si="1"/>
        <v>9359</v>
      </c>
    </row>
    <row r="128" spans="1:7" x14ac:dyDescent="0.3">
      <c r="A128" s="3">
        <v>126</v>
      </c>
      <c r="B128" s="3">
        <f t="shared" si="3"/>
        <v>103</v>
      </c>
      <c r="C128" s="3">
        <v>12000</v>
      </c>
      <c r="D128" s="3">
        <v>12000</v>
      </c>
      <c r="E128" s="3">
        <v>5</v>
      </c>
      <c r="F128" s="3">
        <v>2744</v>
      </c>
      <c r="G128" s="3">
        <f t="shared" si="1"/>
        <v>9256</v>
      </c>
    </row>
    <row r="129" spans="1:7" x14ac:dyDescent="0.3">
      <c r="A129" s="3">
        <v>127</v>
      </c>
      <c r="B129" s="3">
        <f t="shared" si="3"/>
        <v>138</v>
      </c>
      <c r="C129" s="3">
        <v>12000</v>
      </c>
      <c r="D129" s="3">
        <v>12000</v>
      </c>
      <c r="E129" s="3">
        <v>12</v>
      </c>
      <c r="F129" s="3">
        <v>2882</v>
      </c>
      <c r="G129" s="3">
        <f t="shared" si="1"/>
        <v>9118</v>
      </c>
    </row>
    <row r="130" spans="1:7" x14ac:dyDescent="0.3">
      <c r="A130" s="3">
        <v>128</v>
      </c>
      <c r="B130" s="3">
        <f t="shared" si="3"/>
        <v>103</v>
      </c>
      <c r="C130" s="3">
        <v>12000</v>
      </c>
      <c r="D130" s="3">
        <v>12000</v>
      </c>
      <c r="E130" s="3">
        <v>5</v>
      </c>
      <c r="F130" s="3">
        <v>2985</v>
      </c>
      <c r="G130" s="3">
        <f t="shared" si="1"/>
        <v>9015</v>
      </c>
    </row>
    <row r="131" spans="1:7" x14ac:dyDescent="0.3">
      <c r="A131" s="3">
        <v>129</v>
      </c>
      <c r="B131" s="3">
        <f t="shared" si="3"/>
        <v>118</v>
      </c>
      <c r="C131" s="3">
        <v>20000</v>
      </c>
      <c r="D131" s="3">
        <v>20000</v>
      </c>
      <c r="E131" s="3">
        <v>8</v>
      </c>
      <c r="F131" s="3">
        <v>3103</v>
      </c>
      <c r="G131" s="3">
        <f t="shared" ref="G131:G194" si="4">C131-F131</f>
        <v>16897</v>
      </c>
    </row>
    <row r="132" spans="1:7" x14ac:dyDescent="0.3">
      <c r="A132" s="3">
        <v>130</v>
      </c>
      <c r="B132" s="3">
        <f t="shared" si="3"/>
        <v>118</v>
      </c>
      <c r="C132" s="3">
        <v>20000</v>
      </c>
      <c r="D132" s="3">
        <v>20000</v>
      </c>
      <c r="E132" s="3">
        <v>8</v>
      </c>
      <c r="F132" s="3">
        <v>3221</v>
      </c>
      <c r="G132" s="3">
        <f t="shared" si="4"/>
        <v>16779</v>
      </c>
    </row>
    <row r="133" spans="1:7" x14ac:dyDescent="0.3">
      <c r="A133" s="3">
        <v>131</v>
      </c>
      <c r="B133" s="3">
        <f t="shared" si="3"/>
        <v>118</v>
      </c>
      <c r="C133" s="3">
        <v>20000</v>
      </c>
      <c r="D133" s="3">
        <v>20000</v>
      </c>
      <c r="E133" s="3">
        <v>8</v>
      </c>
      <c r="F133" s="3">
        <v>3339</v>
      </c>
      <c r="G133" s="3">
        <f t="shared" si="4"/>
        <v>16661</v>
      </c>
    </row>
    <row r="134" spans="1:7" x14ac:dyDescent="0.3">
      <c r="A134" s="3">
        <v>132</v>
      </c>
      <c r="B134" s="3">
        <f t="shared" si="3"/>
        <v>108</v>
      </c>
      <c r="C134" s="3">
        <v>25000</v>
      </c>
      <c r="D134" s="3">
        <v>25000</v>
      </c>
      <c r="E134" s="3">
        <v>6</v>
      </c>
      <c r="F134" s="3">
        <v>3447</v>
      </c>
      <c r="G134" s="3">
        <f t="shared" si="4"/>
        <v>21553</v>
      </c>
    </row>
    <row r="135" spans="1:7" x14ac:dyDescent="0.3">
      <c r="A135" s="3">
        <v>133</v>
      </c>
      <c r="B135" s="3">
        <f t="shared" si="3"/>
        <v>118</v>
      </c>
      <c r="C135" s="3">
        <v>25000</v>
      </c>
      <c r="D135" s="3">
        <v>25000</v>
      </c>
      <c r="E135" s="3">
        <v>8</v>
      </c>
      <c r="F135" s="3">
        <v>3565</v>
      </c>
      <c r="G135" s="3">
        <f t="shared" si="4"/>
        <v>21435</v>
      </c>
    </row>
    <row r="136" spans="1:7" x14ac:dyDescent="0.3">
      <c r="A136" s="3">
        <v>134</v>
      </c>
      <c r="B136" s="3">
        <f t="shared" si="3"/>
        <v>138</v>
      </c>
      <c r="C136" s="3">
        <v>25000</v>
      </c>
      <c r="D136" s="3">
        <v>25000</v>
      </c>
      <c r="E136" s="3">
        <v>12</v>
      </c>
      <c r="F136" s="3">
        <v>3703</v>
      </c>
      <c r="G136" s="3">
        <f t="shared" si="4"/>
        <v>21297</v>
      </c>
    </row>
    <row r="137" spans="1:7" x14ac:dyDescent="0.3">
      <c r="A137" s="3">
        <v>135</v>
      </c>
      <c r="B137" s="3">
        <f t="shared" si="3"/>
        <v>108</v>
      </c>
      <c r="C137" s="3">
        <v>25000</v>
      </c>
      <c r="D137" s="3">
        <v>25000</v>
      </c>
      <c r="E137" s="3">
        <v>6</v>
      </c>
      <c r="F137" s="3">
        <v>3811</v>
      </c>
      <c r="G137" s="3">
        <f t="shared" si="4"/>
        <v>21189</v>
      </c>
    </row>
    <row r="138" spans="1:7" x14ac:dyDescent="0.3">
      <c r="A138" s="3">
        <v>136</v>
      </c>
      <c r="B138" s="3">
        <f t="shared" si="3"/>
        <v>180.5</v>
      </c>
      <c r="C138" s="3">
        <v>25000</v>
      </c>
      <c r="D138" s="3">
        <v>25000</v>
      </c>
      <c r="E138" s="3">
        <v>20</v>
      </c>
      <c r="F138" s="3">
        <v>3969</v>
      </c>
      <c r="G138" s="3">
        <f t="shared" si="4"/>
        <v>21031</v>
      </c>
    </row>
    <row r="139" spans="1:7" x14ac:dyDescent="0.3">
      <c r="A139" s="3">
        <v>137</v>
      </c>
      <c r="B139" s="3">
        <f t="shared" si="3"/>
        <v>118</v>
      </c>
      <c r="C139" s="3">
        <v>25000</v>
      </c>
      <c r="D139" s="3">
        <v>25000</v>
      </c>
      <c r="E139" s="3">
        <v>8</v>
      </c>
      <c r="F139" s="3">
        <v>4087</v>
      </c>
      <c r="G139" s="3">
        <f t="shared" si="4"/>
        <v>20913</v>
      </c>
    </row>
    <row r="140" spans="1:7" x14ac:dyDescent="0.3">
      <c r="A140" s="3">
        <v>138</v>
      </c>
      <c r="B140" s="3">
        <f t="shared" si="3"/>
        <v>83</v>
      </c>
      <c r="C140" s="3">
        <v>25000</v>
      </c>
      <c r="D140" s="3">
        <v>25000</v>
      </c>
      <c r="E140" s="3">
        <v>1</v>
      </c>
      <c r="F140" s="3">
        <v>4424</v>
      </c>
      <c r="G140" s="3">
        <f t="shared" si="4"/>
        <v>20576</v>
      </c>
    </row>
    <row r="141" spans="1:7" x14ac:dyDescent="0.3">
      <c r="A141" s="3">
        <v>139</v>
      </c>
      <c r="B141" s="3">
        <f t="shared" si="3"/>
        <v>83</v>
      </c>
      <c r="C141" s="3">
        <v>25000</v>
      </c>
      <c r="D141" s="3">
        <v>25000</v>
      </c>
      <c r="E141" s="3">
        <v>1</v>
      </c>
      <c r="F141" s="3">
        <v>4507</v>
      </c>
      <c r="G141" s="3">
        <f t="shared" si="4"/>
        <v>20493</v>
      </c>
    </row>
    <row r="142" spans="1:7" x14ac:dyDescent="0.3">
      <c r="A142" s="3">
        <v>140</v>
      </c>
      <c r="B142" s="3">
        <f t="shared" si="3"/>
        <v>118</v>
      </c>
      <c r="C142" s="3">
        <v>25000</v>
      </c>
      <c r="D142" s="3">
        <v>25000</v>
      </c>
      <c r="E142" s="3">
        <v>8</v>
      </c>
      <c r="F142" s="3">
        <v>4625</v>
      </c>
      <c r="G142" s="3">
        <f t="shared" si="4"/>
        <v>20375</v>
      </c>
    </row>
    <row r="143" spans="1:7" x14ac:dyDescent="0.3">
      <c r="A143" s="3">
        <v>141</v>
      </c>
      <c r="B143" s="3">
        <f t="shared" si="3"/>
        <v>113</v>
      </c>
      <c r="C143" s="3">
        <v>25000</v>
      </c>
      <c r="D143" s="3">
        <v>25000</v>
      </c>
      <c r="E143" s="3">
        <v>7</v>
      </c>
      <c r="F143" s="3">
        <v>4738</v>
      </c>
      <c r="G143" s="3">
        <f t="shared" si="4"/>
        <v>20262</v>
      </c>
    </row>
    <row r="144" spans="1:7" x14ac:dyDescent="0.3">
      <c r="A144" s="3">
        <v>142</v>
      </c>
      <c r="B144" s="3">
        <f t="shared" si="3"/>
        <v>113</v>
      </c>
      <c r="C144" s="3">
        <v>25000</v>
      </c>
      <c r="D144" s="3">
        <v>25000</v>
      </c>
      <c r="E144" s="3">
        <v>7</v>
      </c>
      <c r="F144" s="3">
        <v>4851</v>
      </c>
      <c r="G144" s="3">
        <f t="shared" si="4"/>
        <v>20149</v>
      </c>
    </row>
    <row r="145" spans="1:7" x14ac:dyDescent="0.3">
      <c r="A145" s="3">
        <v>143</v>
      </c>
      <c r="B145" s="3">
        <f t="shared" si="3"/>
        <v>118</v>
      </c>
      <c r="C145" s="3">
        <v>30000</v>
      </c>
      <c r="D145" s="3">
        <v>30000</v>
      </c>
      <c r="E145" s="3">
        <v>8</v>
      </c>
      <c r="F145" s="3">
        <v>4969</v>
      </c>
      <c r="G145" s="3">
        <f t="shared" si="4"/>
        <v>25031</v>
      </c>
    </row>
    <row r="146" spans="1:7" x14ac:dyDescent="0.3">
      <c r="A146" s="3">
        <v>144</v>
      </c>
      <c r="B146" s="3">
        <f t="shared" si="3"/>
        <v>118</v>
      </c>
      <c r="C146" s="3">
        <v>100000</v>
      </c>
      <c r="D146" s="3">
        <v>100000</v>
      </c>
      <c r="E146" s="3">
        <v>8</v>
      </c>
      <c r="F146" s="3">
        <v>5087</v>
      </c>
      <c r="G146" s="3">
        <f t="shared" si="4"/>
        <v>94913</v>
      </c>
    </row>
    <row r="147" spans="1:7" x14ac:dyDescent="0.3">
      <c r="A147" s="3">
        <v>145</v>
      </c>
      <c r="B147" s="3">
        <f t="shared" si="3"/>
        <v>108</v>
      </c>
      <c r="C147" s="3">
        <v>200000</v>
      </c>
      <c r="D147" s="3">
        <v>200000</v>
      </c>
      <c r="E147" s="3">
        <v>6</v>
      </c>
      <c r="F147" s="3">
        <v>5489</v>
      </c>
      <c r="G147" s="3">
        <f t="shared" si="4"/>
        <v>194511</v>
      </c>
    </row>
    <row r="148" spans="1:7" x14ac:dyDescent="0.3">
      <c r="A148" s="3">
        <v>146</v>
      </c>
      <c r="B148" s="3">
        <f t="shared" si="3"/>
        <v>108</v>
      </c>
      <c r="C148" s="3">
        <v>50000</v>
      </c>
      <c r="D148" s="3">
        <v>50000</v>
      </c>
      <c r="E148" s="3">
        <v>6</v>
      </c>
      <c r="F148" s="3">
        <v>5597</v>
      </c>
      <c r="G148" s="3">
        <f t="shared" si="4"/>
        <v>44403</v>
      </c>
    </row>
    <row r="149" spans="1:7" x14ac:dyDescent="0.3">
      <c r="A149" s="3">
        <v>147</v>
      </c>
      <c r="B149" s="3">
        <f t="shared" si="3"/>
        <v>108</v>
      </c>
      <c r="C149" s="3">
        <v>50000</v>
      </c>
      <c r="D149" s="3">
        <v>50000</v>
      </c>
      <c r="E149" s="3">
        <v>6</v>
      </c>
      <c r="F149" s="3">
        <v>5705</v>
      </c>
      <c r="G149" s="3">
        <f t="shared" si="4"/>
        <v>44295</v>
      </c>
    </row>
    <row r="150" spans="1:7" x14ac:dyDescent="0.3">
      <c r="A150" s="3">
        <v>148</v>
      </c>
      <c r="B150" s="3">
        <f t="shared" si="3"/>
        <v>113</v>
      </c>
      <c r="C150" s="3">
        <v>50000</v>
      </c>
      <c r="D150" s="3">
        <v>50000</v>
      </c>
      <c r="E150" s="3">
        <v>7</v>
      </c>
      <c r="F150" s="3">
        <v>5818</v>
      </c>
      <c r="G150" s="3">
        <f t="shared" si="4"/>
        <v>44182</v>
      </c>
    </row>
    <row r="151" spans="1:7" x14ac:dyDescent="0.3">
      <c r="A151" s="3">
        <v>149</v>
      </c>
      <c r="B151" s="3">
        <f t="shared" si="3"/>
        <v>113</v>
      </c>
      <c r="C151" s="3">
        <v>50000</v>
      </c>
      <c r="D151" s="3">
        <v>50000</v>
      </c>
      <c r="E151" s="3">
        <v>7</v>
      </c>
      <c r="F151" s="3">
        <v>5931</v>
      </c>
      <c r="G151" s="3">
        <f t="shared" si="4"/>
        <v>44069</v>
      </c>
    </row>
    <row r="152" spans="1:7" x14ac:dyDescent="0.3">
      <c r="A152" s="3">
        <v>150</v>
      </c>
      <c r="B152" s="3">
        <f t="shared" si="3"/>
        <v>138</v>
      </c>
      <c r="C152" s="3">
        <v>50000</v>
      </c>
      <c r="D152" s="3">
        <v>50000</v>
      </c>
      <c r="E152" s="3">
        <v>12</v>
      </c>
      <c r="F152" s="3">
        <v>6069</v>
      </c>
      <c r="G152" s="3">
        <f t="shared" si="4"/>
        <v>43931</v>
      </c>
    </row>
    <row r="153" spans="1:7" x14ac:dyDescent="0.3">
      <c r="A153" s="3">
        <v>151</v>
      </c>
      <c r="B153" s="3">
        <f t="shared" si="3"/>
        <v>108</v>
      </c>
      <c r="C153" s="3">
        <v>250000</v>
      </c>
      <c r="D153" s="3">
        <v>250000</v>
      </c>
      <c r="E153" s="3">
        <v>6</v>
      </c>
      <c r="F153" s="3">
        <v>6431</v>
      </c>
      <c r="G153" s="3">
        <f t="shared" si="4"/>
        <v>243569</v>
      </c>
    </row>
    <row r="154" spans="1:7" x14ac:dyDescent="0.3">
      <c r="A154" s="3">
        <v>152</v>
      </c>
      <c r="B154" s="3">
        <f t="shared" si="3"/>
        <v>103</v>
      </c>
      <c r="C154" s="3">
        <v>1000000</v>
      </c>
      <c r="D154" s="3">
        <v>1000000</v>
      </c>
      <c r="E154" s="3">
        <v>5</v>
      </c>
      <c r="F154" s="3">
        <v>6534</v>
      </c>
      <c r="G154" s="3">
        <f t="shared" si="4"/>
        <v>993466</v>
      </c>
    </row>
    <row r="155" spans="1:7" x14ac:dyDescent="0.3">
      <c r="A155" s="3">
        <v>153</v>
      </c>
      <c r="B155" s="3">
        <f t="shared" si="3"/>
        <v>103</v>
      </c>
      <c r="C155" s="3">
        <v>100000</v>
      </c>
      <c r="D155" s="3">
        <v>100000</v>
      </c>
      <c r="E155" s="3">
        <v>5</v>
      </c>
      <c r="F155" s="3">
        <v>6637</v>
      </c>
      <c r="G155" s="3">
        <f t="shared" si="4"/>
        <v>93363</v>
      </c>
    </row>
    <row r="156" spans="1:7" x14ac:dyDescent="0.3">
      <c r="A156" s="3">
        <v>154</v>
      </c>
      <c r="B156" s="3">
        <f t="shared" si="3"/>
        <v>118</v>
      </c>
      <c r="C156" s="3">
        <v>100000</v>
      </c>
      <c r="D156" s="3">
        <v>100000</v>
      </c>
      <c r="E156" s="3">
        <v>8</v>
      </c>
      <c r="F156" s="3">
        <v>6755</v>
      </c>
      <c r="G156" s="3">
        <f t="shared" si="4"/>
        <v>93245</v>
      </c>
    </row>
    <row r="157" spans="1:7" x14ac:dyDescent="0.3">
      <c r="A157" s="3">
        <v>155</v>
      </c>
      <c r="B157" s="3">
        <f t="shared" si="3"/>
        <v>118</v>
      </c>
      <c r="C157" s="3">
        <v>100000</v>
      </c>
      <c r="D157" s="3">
        <v>100000</v>
      </c>
      <c r="E157" s="3">
        <v>8</v>
      </c>
      <c r="F157" s="3">
        <v>6873</v>
      </c>
      <c r="G157" s="3">
        <f t="shared" si="4"/>
        <v>93127</v>
      </c>
    </row>
    <row r="158" spans="1:7" x14ac:dyDescent="0.3">
      <c r="A158" s="3">
        <v>156</v>
      </c>
      <c r="B158" s="3">
        <f t="shared" si="3"/>
        <v>118</v>
      </c>
      <c r="C158" s="3">
        <v>100000</v>
      </c>
      <c r="D158" s="3">
        <v>100000</v>
      </c>
      <c r="E158" s="3">
        <v>8</v>
      </c>
      <c r="F158" s="3">
        <v>6991</v>
      </c>
      <c r="G158" s="3">
        <f t="shared" si="4"/>
        <v>93009</v>
      </c>
    </row>
    <row r="159" spans="1:7" x14ac:dyDescent="0.3">
      <c r="A159" s="3">
        <v>157</v>
      </c>
      <c r="B159" s="3">
        <f t="shared" si="3"/>
        <v>113</v>
      </c>
      <c r="C159" s="3">
        <v>100000</v>
      </c>
      <c r="D159" s="3">
        <v>100000</v>
      </c>
      <c r="E159" s="3">
        <v>7</v>
      </c>
      <c r="F159" s="3">
        <v>7104</v>
      </c>
      <c r="G159" s="3">
        <f t="shared" si="4"/>
        <v>92896</v>
      </c>
    </row>
    <row r="160" spans="1:7" x14ac:dyDescent="0.3">
      <c r="A160" s="3">
        <v>158</v>
      </c>
      <c r="B160" s="3">
        <f t="shared" si="3"/>
        <v>113</v>
      </c>
      <c r="C160" s="3">
        <v>100000</v>
      </c>
      <c r="D160" s="3">
        <v>100000</v>
      </c>
      <c r="E160" s="3">
        <v>7</v>
      </c>
      <c r="F160" s="3">
        <v>7217</v>
      </c>
      <c r="G160" s="3">
        <f t="shared" si="4"/>
        <v>92783</v>
      </c>
    </row>
    <row r="161" spans="1:7" x14ac:dyDescent="0.3">
      <c r="A161" s="3">
        <v>159</v>
      </c>
      <c r="B161" s="3">
        <f t="shared" si="3"/>
        <v>108</v>
      </c>
      <c r="C161" s="3">
        <v>100000</v>
      </c>
      <c r="D161" s="3">
        <v>100000</v>
      </c>
      <c r="E161" s="3">
        <v>6</v>
      </c>
      <c r="F161" s="3">
        <v>7325</v>
      </c>
      <c r="G161" s="3">
        <f t="shared" si="4"/>
        <v>92675</v>
      </c>
    </row>
    <row r="162" spans="1:7" x14ac:dyDescent="0.3">
      <c r="A162" s="3">
        <v>160</v>
      </c>
      <c r="B162" s="3">
        <f t="shared" si="3"/>
        <v>93</v>
      </c>
      <c r="C162" s="3">
        <v>100000</v>
      </c>
      <c r="D162" s="3">
        <v>100000</v>
      </c>
      <c r="E162" s="3">
        <v>3</v>
      </c>
      <c r="F162" s="3">
        <v>7418</v>
      </c>
      <c r="G162" s="3">
        <f t="shared" si="4"/>
        <v>92582</v>
      </c>
    </row>
    <row r="163" spans="1:7" x14ac:dyDescent="0.3">
      <c r="A163" s="3">
        <v>161</v>
      </c>
      <c r="B163" s="3">
        <f t="shared" si="3"/>
        <v>118</v>
      </c>
      <c r="C163" s="3">
        <v>100000</v>
      </c>
      <c r="D163" s="3">
        <v>100000</v>
      </c>
      <c r="E163" s="3">
        <v>8</v>
      </c>
      <c r="F163" s="3">
        <v>7536</v>
      </c>
      <c r="G163" s="3">
        <f t="shared" si="4"/>
        <v>92464</v>
      </c>
    </row>
    <row r="164" spans="1:7" x14ac:dyDescent="0.3">
      <c r="A164" s="3">
        <v>162</v>
      </c>
      <c r="B164" s="3">
        <f t="shared" si="3"/>
        <v>118</v>
      </c>
      <c r="C164" s="3">
        <v>100000</v>
      </c>
      <c r="D164" s="3">
        <v>100000</v>
      </c>
      <c r="E164" s="3">
        <v>8</v>
      </c>
      <c r="F164" s="3">
        <v>7654</v>
      </c>
      <c r="G164" s="3">
        <f t="shared" si="4"/>
        <v>92346</v>
      </c>
    </row>
    <row r="165" spans="1:7" x14ac:dyDescent="0.3">
      <c r="A165" s="3">
        <v>163</v>
      </c>
      <c r="B165" s="3">
        <f t="shared" si="3"/>
        <v>138</v>
      </c>
      <c r="C165" s="3">
        <v>100000</v>
      </c>
      <c r="D165" s="3">
        <v>100000</v>
      </c>
      <c r="E165" s="3">
        <v>12</v>
      </c>
      <c r="F165" s="3">
        <v>7792</v>
      </c>
      <c r="G165" s="3">
        <f t="shared" si="4"/>
        <v>92208</v>
      </c>
    </row>
    <row r="166" spans="1:7" x14ac:dyDescent="0.3">
      <c r="A166" s="3">
        <v>164</v>
      </c>
      <c r="B166" s="3">
        <f t="shared" si="3"/>
        <v>118</v>
      </c>
      <c r="C166" s="3">
        <v>100000</v>
      </c>
      <c r="D166" s="3">
        <v>100000</v>
      </c>
      <c r="E166" s="3">
        <v>8</v>
      </c>
      <c r="F166" s="3">
        <v>7910</v>
      </c>
      <c r="G166" s="3">
        <f t="shared" si="4"/>
        <v>92090</v>
      </c>
    </row>
    <row r="167" spans="1:7" x14ac:dyDescent="0.3">
      <c r="A167" s="3">
        <v>165</v>
      </c>
      <c r="B167" s="3">
        <f t="shared" si="3"/>
        <v>98</v>
      </c>
      <c r="C167" s="3">
        <v>100000</v>
      </c>
      <c r="D167" s="3">
        <v>100000</v>
      </c>
      <c r="E167" s="3">
        <v>4</v>
      </c>
      <c r="F167" s="3">
        <v>8008</v>
      </c>
      <c r="G167" s="3">
        <f t="shared" si="4"/>
        <v>91992</v>
      </c>
    </row>
    <row r="168" spans="1:7" x14ac:dyDescent="0.3">
      <c r="A168" s="3">
        <v>166</v>
      </c>
      <c r="B168" s="3">
        <f t="shared" si="3"/>
        <v>158</v>
      </c>
      <c r="C168" s="3">
        <v>100000</v>
      </c>
      <c r="D168" s="3">
        <v>100000</v>
      </c>
      <c r="E168" s="3">
        <v>16</v>
      </c>
      <c r="F168" s="3">
        <v>8146</v>
      </c>
      <c r="G168" s="3">
        <f t="shared" si="4"/>
        <v>91854</v>
      </c>
    </row>
    <row r="169" spans="1:7" x14ac:dyDescent="0.3">
      <c r="A169" s="3">
        <v>167</v>
      </c>
      <c r="B169" s="3">
        <f t="shared" si="3"/>
        <v>88</v>
      </c>
      <c r="C169" s="3">
        <v>100000</v>
      </c>
      <c r="D169" s="3">
        <v>100000</v>
      </c>
      <c r="E169" s="3">
        <v>2</v>
      </c>
      <c r="F169" s="3">
        <v>8488</v>
      </c>
      <c r="G169" s="3">
        <f t="shared" si="4"/>
        <v>91512</v>
      </c>
    </row>
    <row r="170" spans="1:7" x14ac:dyDescent="0.3">
      <c r="A170" s="3">
        <v>168</v>
      </c>
      <c r="B170" s="3">
        <f t="shared" si="3"/>
        <v>118</v>
      </c>
      <c r="C170" s="3">
        <v>160000</v>
      </c>
      <c r="D170" s="3">
        <v>160000</v>
      </c>
      <c r="E170" s="3">
        <v>8</v>
      </c>
      <c r="F170" s="3">
        <v>8606</v>
      </c>
      <c r="G170" s="3">
        <f t="shared" si="4"/>
        <v>151394</v>
      </c>
    </row>
    <row r="171" spans="1:7" x14ac:dyDescent="0.3">
      <c r="A171" s="3">
        <v>169</v>
      </c>
      <c r="B171" s="3">
        <f t="shared" si="3"/>
        <v>118</v>
      </c>
      <c r="C171" s="3">
        <v>160000</v>
      </c>
      <c r="D171" s="3">
        <v>160000</v>
      </c>
      <c r="E171" s="3">
        <v>8</v>
      </c>
      <c r="F171" s="3">
        <v>8724</v>
      </c>
      <c r="G171" s="3">
        <f t="shared" si="4"/>
        <v>151276</v>
      </c>
    </row>
    <row r="172" spans="1:7" x14ac:dyDescent="0.3">
      <c r="A172" s="3">
        <v>170</v>
      </c>
      <c r="B172" s="3">
        <f t="shared" si="3"/>
        <v>118</v>
      </c>
      <c r="C172" s="3">
        <v>160000</v>
      </c>
      <c r="D172" s="3">
        <v>160000</v>
      </c>
      <c r="E172" s="3">
        <v>8</v>
      </c>
      <c r="F172" s="3">
        <v>8842</v>
      </c>
      <c r="G172" s="3">
        <f t="shared" si="4"/>
        <v>151158</v>
      </c>
    </row>
    <row r="173" spans="1:7" x14ac:dyDescent="0.3">
      <c r="A173" s="3">
        <v>171</v>
      </c>
      <c r="B173" s="3">
        <f t="shared" si="3"/>
        <v>118</v>
      </c>
      <c r="C173" s="3">
        <v>160000</v>
      </c>
      <c r="D173" s="3">
        <v>160000</v>
      </c>
      <c r="E173" s="3">
        <v>8</v>
      </c>
      <c r="F173" s="3">
        <v>8960</v>
      </c>
      <c r="G173" s="3">
        <f t="shared" si="4"/>
        <v>151040</v>
      </c>
    </row>
    <row r="174" spans="1:7" x14ac:dyDescent="0.3">
      <c r="A174" s="3">
        <v>172</v>
      </c>
      <c r="B174" s="3">
        <f t="shared" si="3"/>
        <v>118</v>
      </c>
      <c r="C174" s="3">
        <v>160000</v>
      </c>
      <c r="D174" s="3">
        <v>160000</v>
      </c>
      <c r="E174" s="3">
        <v>8</v>
      </c>
      <c r="F174" s="3">
        <v>9078</v>
      </c>
      <c r="G174" s="3">
        <f t="shared" si="4"/>
        <v>150922</v>
      </c>
    </row>
    <row r="175" spans="1:7" x14ac:dyDescent="0.3">
      <c r="A175" s="3">
        <v>173</v>
      </c>
      <c r="B175" s="3">
        <f t="shared" ref="B175:B213" si="5">IF(E175&lt;=16,32*2+(28+10*E175)*0.5,32*2+(33+10*E175)*0.5)</f>
        <v>118</v>
      </c>
      <c r="C175" s="3">
        <v>160000</v>
      </c>
      <c r="D175" s="3">
        <v>160000</v>
      </c>
      <c r="E175" s="3">
        <v>8</v>
      </c>
      <c r="F175" s="3">
        <v>9196</v>
      </c>
      <c r="G175" s="3">
        <f t="shared" si="4"/>
        <v>150804</v>
      </c>
    </row>
    <row r="176" spans="1:7" x14ac:dyDescent="0.3">
      <c r="A176" s="3">
        <v>174</v>
      </c>
      <c r="B176" s="3">
        <f t="shared" si="5"/>
        <v>118</v>
      </c>
      <c r="C176" s="3">
        <v>160000</v>
      </c>
      <c r="D176" s="3">
        <v>160000</v>
      </c>
      <c r="E176" s="3">
        <v>8</v>
      </c>
      <c r="F176" s="3">
        <v>9314</v>
      </c>
      <c r="G176" s="3">
        <f t="shared" si="4"/>
        <v>150686</v>
      </c>
    </row>
    <row r="177" spans="1:7" x14ac:dyDescent="0.3">
      <c r="A177" s="3">
        <v>175</v>
      </c>
      <c r="B177" s="3">
        <f t="shared" si="5"/>
        <v>118</v>
      </c>
      <c r="C177" s="3">
        <v>192000</v>
      </c>
      <c r="D177" s="3">
        <v>192000</v>
      </c>
      <c r="E177" s="3">
        <v>8</v>
      </c>
      <c r="F177" s="3">
        <v>9432</v>
      </c>
      <c r="G177" s="3">
        <f t="shared" si="4"/>
        <v>182568</v>
      </c>
    </row>
    <row r="178" spans="1:7" x14ac:dyDescent="0.3">
      <c r="A178" s="3">
        <v>176</v>
      </c>
      <c r="B178" s="3">
        <f t="shared" si="5"/>
        <v>118</v>
      </c>
      <c r="C178" s="3">
        <v>192000</v>
      </c>
      <c r="D178" s="3">
        <v>192000</v>
      </c>
      <c r="E178" s="3">
        <v>8</v>
      </c>
      <c r="F178" s="3">
        <v>9550</v>
      </c>
      <c r="G178" s="3">
        <f t="shared" si="4"/>
        <v>182450</v>
      </c>
    </row>
    <row r="179" spans="1:7" x14ac:dyDescent="0.3">
      <c r="A179" s="3">
        <v>177</v>
      </c>
      <c r="B179" s="3">
        <f t="shared" si="5"/>
        <v>118</v>
      </c>
      <c r="C179" s="3">
        <v>320000</v>
      </c>
      <c r="D179" s="3">
        <v>320000</v>
      </c>
      <c r="E179" s="3">
        <v>8</v>
      </c>
      <c r="F179" s="3">
        <v>9668</v>
      </c>
      <c r="G179" s="3">
        <f t="shared" si="4"/>
        <v>310332</v>
      </c>
    </row>
    <row r="180" spans="1:7" x14ac:dyDescent="0.3">
      <c r="A180" s="3">
        <v>178</v>
      </c>
      <c r="B180" s="3">
        <f t="shared" si="5"/>
        <v>118</v>
      </c>
      <c r="C180" s="3">
        <v>400000</v>
      </c>
      <c r="D180" s="3">
        <v>400000</v>
      </c>
      <c r="E180" s="3">
        <v>8</v>
      </c>
      <c r="F180" s="3">
        <v>9786</v>
      </c>
      <c r="G180" s="3">
        <f t="shared" si="4"/>
        <v>390214</v>
      </c>
    </row>
    <row r="181" spans="1:7" x14ac:dyDescent="0.3">
      <c r="A181" s="3">
        <v>179</v>
      </c>
      <c r="B181" s="3">
        <f t="shared" si="5"/>
        <v>118</v>
      </c>
      <c r="C181" s="3">
        <v>480000</v>
      </c>
      <c r="D181" s="3">
        <v>480000</v>
      </c>
      <c r="E181" s="3">
        <v>8</v>
      </c>
      <c r="F181" s="3">
        <v>9904</v>
      </c>
      <c r="G181" s="3">
        <f t="shared" si="4"/>
        <v>470096</v>
      </c>
    </row>
    <row r="182" spans="1:7" x14ac:dyDescent="0.3">
      <c r="A182" s="3">
        <v>180</v>
      </c>
      <c r="B182" s="3">
        <f t="shared" si="5"/>
        <v>118</v>
      </c>
      <c r="C182" s="3">
        <v>400000</v>
      </c>
      <c r="D182" s="3">
        <v>400000</v>
      </c>
      <c r="E182" s="3">
        <v>8</v>
      </c>
      <c r="F182" s="3">
        <v>10022</v>
      </c>
      <c r="G182" s="3">
        <f t="shared" si="4"/>
        <v>389978</v>
      </c>
    </row>
    <row r="183" spans="1:7" x14ac:dyDescent="0.3">
      <c r="A183" s="3">
        <v>181</v>
      </c>
      <c r="B183" s="3">
        <f t="shared" si="5"/>
        <v>118</v>
      </c>
      <c r="C183" s="3">
        <v>320000</v>
      </c>
      <c r="D183" s="3">
        <v>320000</v>
      </c>
      <c r="E183" s="3">
        <v>8</v>
      </c>
      <c r="F183" s="3">
        <v>11391</v>
      </c>
      <c r="G183" s="3">
        <f t="shared" si="4"/>
        <v>308609</v>
      </c>
    </row>
    <row r="184" spans="1:7" x14ac:dyDescent="0.3">
      <c r="A184" s="3">
        <v>182</v>
      </c>
      <c r="B184" s="3">
        <f t="shared" si="5"/>
        <v>118</v>
      </c>
      <c r="C184" s="3">
        <v>192000</v>
      </c>
      <c r="D184" s="3">
        <v>192000</v>
      </c>
      <c r="E184" s="3">
        <v>8</v>
      </c>
      <c r="F184" s="3">
        <v>11509</v>
      </c>
      <c r="G184" s="3">
        <f t="shared" si="4"/>
        <v>180491</v>
      </c>
    </row>
    <row r="185" spans="1:7" x14ac:dyDescent="0.3">
      <c r="A185" s="3">
        <v>183</v>
      </c>
      <c r="B185" s="3">
        <f t="shared" si="5"/>
        <v>118</v>
      </c>
      <c r="C185" s="3">
        <v>200000</v>
      </c>
      <c r="D185" s="3">
        <v>200000</v>
      </c>
      <c r="E185" s="3">
        <v>8</v>
      </c>
      <c r="F185" s="3">
        <v>11627</v>
      </c>
      <c r="G185" s="3">
        <f t="shared" si="4"/>
        <v>188373</v>
      </c>
    </row>
    <row r="186" spans="1:7" x14ac:dyDescent="0.3">
      <c r="A186" s="3">
        <v>184</v>
      </c>
      <c r="B186" s="3">
        <f t="shared" si="5"/>
        <v>118</v>
      </c>
      <c r="C186" s="3">
        <v>160000</v>
      </c>
      <c r="D186" s="3">
        <v>160000</v>
      </c>
      <c r="E186" s="3">
        <v>8</v>
      </c>
      <c r="F186" s="3">
        <v>11745</v>
      </c>
      <c r="G186" s="3">
        <f t="shared" si="4"/>
        <v>148255</v>
      </c>
    </row>
    <row r="187" spans="1:7" x14ac:dyDescent="0.3">
      <c r="A187" s="3">
        <v>185</v>
      </c>
      <c r="B187" s="3">
        <f t="shared" si="5"/>
        <v>118</v>
      </c>
      <c r="C187" s="3">
        <v>200000</v>
      </c>
      <c r="D187" s="3">
        <v>200000</v>
      </c>
      <c r="E187" s="3">
        <v>8</v>
      </c>
      <c r="F187" s="3">
        <v>11863</v>
      </c>
      <c r="G187" s="3">
        <f t="shared" si="4"/>
        <v>188137</v>
      </c>
    </row>
    <row r="188" spans="1:7" x14ac:dyDescent="0.3">
      <c r="A188" s="3">
        <v>186</v>
      </c>
      <c r="B188" s="3">
        <f t="shared" si="5"/>
        <v>118</v>
      </c>
      <c r="C188" s="3">
        <v>160000</v>
      </c>
      <c r="D188" s="3">
        <v>160000</v>
      </c>
      <c r="E188" s="3">
        <v>8</v>
      </c>
      <c r="F188" s="3">
        <v>11981</v>
      </c>
      <c r="G188" s="3">
        <f t="shared" si="4"/>
        <v>148019</v>
      </c>
    </row>
    <row r="189" spans="1:7" x14ac:dyDescent="0.3">
      <c r="A189" s="3">
        <v>187</v>
      </c>
      <c r="B189" s="3">
        <f t="shared" si="5"/>
        <v>118</v>
      </c>
      <c r="C189" s="3">
        <v>3500000</v>
      </c>
      <c r="D189" s="3">
        <v>3500000</v>
      </c>
      <c r="E189" s="3">
        <v>8</v>
      </c>
      <c r="F189" s="3">
        <v>12099</v>
      </c>
      <c r="G189" s="3">
        <f t="shared" si="4"/>
        <v>3487901</v>
      </c>
    </row>
    <row r="190" spans="1:7" x14ac:dyDescent="0.3">
      <c r="A190" s="3">
        <v>188</v>
      </c>
      <c r="B190" s="3">
        <f t="shared" si="5"/>
        <v>118</v>
      </c>
      <c r="C190" s="3">
        <v>1600000</v>
      </c>
      <c r="D190" s="3">
        <v>1600000</v>
      </c>
      <c r="E190" s="3">
        <v>8</v>
      </c>
      <c r="F190" s="3">
        <v>13771</v>
      </c>
      <c r="G190" s="3">
        <f t="shared" si="4"/>
        <v>1586229</v>
      </c>
    </row>
    <row r="191" spans="1:7" x14ac:dyDescent="0.3">
      <c r="A191" s="3">
        <v>189</v>
      </c>
      <c r="B191" s="3">
        <f t="shared" si="5"/>
        <v>118</v>
      </c>
      <c r="C191" s="3">
        <v>400000</v>
      </c>
      <c r="D191" s="3">
        <v>400000</v>
      </c>
      <c r="E191" s="3">
        <v>8</v>
      </c>
      <c r="F191" s="3">
        <v>13889</v>
      </c>
      <c r="G191" s="3">
        <f t="shared" si="4"/>
        <v>386111</v>
      </c>
    </row>
    <row r="192" spans="1:7" x14ac:dyDescent="0.3">
      <c r="A192" s="3">
        <v>190</v>
      </c>
      <c r="B192" s="3">
        <f t="shared" si="5"/>
        <v>118</v>
      </c>
      <c r="C192" s="3">
        <v>400000</v>
      </c>
      <c r="D192" s="3">
        <v>400000</v>
      </c>
      <c r="E192" s="3">
        <v>8</v>
      </c>
      <c r="F192" s="3">
        <v>14007</v>
      </c>
      <c r="G192" s="3">
        <f t="shared" si="4"/>
        <v>385993</v>
      </c>
    </row>
    <row r="193" spans="1:7" x14ac:dyDescent="0.3">
      <c r="A193" s="3">
        <v>191</v>
      </c>
      <c r="B193" s="3">
        <f t="shared" si="5"/>
        <v>103</v>
      </c>
      <c r="C193" s="3">
        <v>250000</v>
      </c>
      <c r="D193" s="3">
        <v>250000</v>
      </c>
      <c r="E193" s="3">
        <v>5</v>
      </c>
      <c r="F193" s="3">
        <v>14364</v>
      </c>
      <c r="G193" s="3">
        <f t="shared" si="4"/>
        <v>235636</v>
      </c>
    </row>
    <row r="194" spans="1:7" x14ac:dyDescent="0.3">
      <c r="A194" s="3">
        <v>192</v>
      </c>
      <c r="B194" s="3">
        <f t="shared" si="5"/>
        <v>118</v>
      </c>
      <c r="C194" s="3">
        <v>250000</v>
      </c>
      <c r="D194" s="3">
        <v>250000</v>
      </c>
      <c r="E194" s="3">
        <v>8</v>
      </c>
      <c r="F194" s="3">
        <v>14482</v>
      </c>
      <c r="G194" s="3">
        <f t="shared" si="4"/>
        <v>235518</v>
      </c>
    </row>
    <row r="195" spans="1:7" x14ac:dyDescent="0.3">
      <c r="A195" s="3">
        <v>193</v>
      </c>
      <c r="B195" s="3">
        <f t="shared" si="5"/>
        <v>118</v>
      </c>
      <c r="C195" s="3">
        <v>250000</v>
      </c>
      <c r="D195" s="3">
        <v>250000</v>
      </c>
      <c r="E195" s="3">
        <v>8</v>
      </c>
      <c r="F195" s="3">
        <v>14600</v>
      </c>
      <c r="G195" s="3">
        <f t="shared" ref="G195:G252" si="6">C195-F195</f>
        <v>235400</v>
      </c>
    </row>
    <row r="196" spans="1:7" x14ac:dyDescent="0.3">
      <c r="A196" s="3">
        <v>194</v>
      </c>
      <c r="B196" s="3">
        <f t="shared" si="5"/>
        <v>108</v>
      </c>
      <c r="C196" s="3">
        <v>1000000</v>
      </c>
      <c r="D196" s="3">
        <v>1000000</v>
      </c>
      <c r="E196" s="3">
        <v>6</v>
      </c>
      <c r="F196" s="3">
        <v>14708</v>
      </c>
      <c r="G196" s="3">
        <f t="shared" si="6"/>
        <v>985292</v>
      </c>
    </row>
    <row r="197" spans="1:7" x14ac:dyDescent="0.3">
      <c r="A197" s="3">
        <v>195</v>
      </c>
      <c r="B197" s="3">
        <f t="shared" si="5"/>
        <v>118</v>
      </c>
      <c r="C197" s="3">
        <v>1000000</v>
      </c>
      <c r="D197" s="3">
        <v>1000000</v>
      </c>
      <c r="E197" s="3">
        <v>8</v>
      </c>
      <c r="F197" s="3">
        <v>14826</v>
      </c>
      <c r="G197" s="3">
        <f t="shared" si="6"/>
        <v>985174</v>
      </c>
    </row>
    <row r="198" spans="1:7" x14ac:dyDescent="0.3">
      <c r="A198" s="3">
        <v>196</v>
      </c>
      <c r="B198" s="3">
        <f t="shared" si="5"/>
        <v>118</v>
      </c>
      <c r="C198" s="3">
        <v>200000</v>
      </c>
      <c r="D198" s="3">
        <v>200000</v>
      </c>
      <c r="E198" s="3">
        <v>8</v>
      </c>
      <c r="F198" s="3">
        <v>14944</v>
      </c>
      <c r="G198" s="3">
        <f t="shared" si="6"/>
        <v>185056</v>
      </c>
    </row>
    <row r="199" spans="1:7" x14ac:dyDescent="0.3">
      <c r="A199" s="3">
        <v>197</v>
      </c>
      <c r="B199" s="3">
        <f t="shared" si="5"/>
        <v>93</v>
      </c>
      <c r="C199" s="3">
        <v>1000000</v>
      </c>
      <c r="D199" s="3">
        <v>1000000</v>
      </c>
      <c r="E199" s="3">
        <v>3</v>
      </c>
      <c r="F199" s="3">
        <v>15037</v>
      </c>
      <c r="G199" s="3">
        <f t="shared" si="6"/>
        <v>984963</v>
      </c>
    </row>
    <row r="200" spans="1:7" x14ac:dyDescent="0.3">
      <c r="A200" s="3">
        <v>198</v>
      </c>
      <c r="B200" s="3">
        <f t="shared" si="5"/>
        <v>108</v>
      </c>
      <c r="C200" s="3">
        <v>500000</v>
      </c>
      <c r="D200" s="3">
        <v>500000</v>
      </c>
      <c r="E200" s="3">
        <v>6</v>
      </c>
      <c r="F200" s="3">
        <v>15439</v>
      </c>
      <c r="G200" s="3">
        <f t="shared" si="6"/>
        <v>484561</v>
      </c>
    </row>
    <row r="201" spans="1:7" x14ac:dyDescent="0.3">
      <c r="A201" s="3">
        <v>199</v>
      </c>
      <c r="B201" s="3">
        <f t="shared" si="5"/>
        <v>98</v>
      </c>
      <c r="C201" s="3">
        <v>500000</v>
      </c>
      <c r="D201" s="3">
        <v>500000</v>
      </c>
      <c r="E201" s="3">
        <v>4</v>
      </c>
      <c r="F201" s="3">
        <v>15537</v>
      </c>
      <c r="G201" s="3">
        <f t="shared" si="6"/>
        <v>484463</v>
      </c>
    </row>
    <row r="202" spans="1:7" x14ac:dyDescent="0.3">
      <c r="A202" s="3">
        <v>200</v>
      </c>
      <c r="B202" s="3">
        <f t="shared" si="5"/>
        <v>138</v>
      </c>
      <c r="C202" s="3">
        <v>500000</v>
      </c>
      <c r="D202" s="3">
        <v>500000</v>
      </c>
      <c r="E202" s="3">
        <v>12</v>
      </c>
      <c r="F202" s="3">
        <v>15655</v>
      </c>
      <c r="G202" s="3">
        <f t="shared" si="6"/>
        <v>484345</v>
      </c>
    </row>
    <row r="203" spans="1:7" x14ac:dyDescent="0.3">
      <c r="A203" s="3">
        <v>201</v>
      </c>
      <c r="B203" s="3">
        <f t="shared" si="5"/>
        <v>113</v>
      </c>
      <c r="C203" s="3">
        <v>1000000</v>
      </c>
      <c r="D203" s="3">
        <v>1000000</v>
      </c>
      <c r="E203" s="3">
        <v>7</v>
      </c>
      <c r="F203" s="3">
        <v>15768</v>
      </c>
      <c r="G203" s="3">
        <f t="shared" si="6"/>
        <v>984232</v>
      </c>
    </row>
    <row r="204" spans="1:7" x14ac:dyDescent="0.3">
      <c r="A204" s="3">
        <v>202</v>
      </c>
      <c r="B204" s="3">
        <f t="shared" si="5"/>
        <v>108</v>
      </c>
      <c r="C204" s="3">
        <v>1000000</v>
      </c>
      <c r="D204" s="3">
        <v>1000000</v>
      </c>
      <c r="E204" s="3">
        <v>6</v>
      </c>
      <c r="F204" s="3">
        <v>15876</v>
      </c>
      <c r="G204" s="3">
        <f t="shared" si="6"/>
        <v>984124</v>
      </c>
    </row>
    <row r="205" spans="1:7" x14ac:dyDescent="0.3">
      <c r="A205" s="3">
        <v>203</v>
      </c>
      <c r="B205" s="3">
        <f t="shared" si="5"/>
        <v>93</v>
      </c>
      <c r="C205" s="3">
        <v>1000000</v>
      </c>
      <c r="D205" s="3">
        <v>1000000</v>
      </c>
      <c r="E205" s="3">
        <v>3</v>
      </c>
      <c r="F205" s="3">
        <v>15969</v>
      </c>
      <c r="G205" s="3">
        <f t="shared" si="6"/>
        <v>984031</v>
      </c>
    </row>
    <row r="206" spans="1:7" x14ac:dyDescent="0.3">
      <c r="A206" s="3">
        <v>204</v>
      </c>
      <c r="B206" s="3">
        <f t="shared" si="5"/>
        <v>103</v>
      </c>
      <c r="C206" s="3">
        <v>1000000</v>
      </c>
      <c r="D206" s="3">
        <v>1000000</v>
      </c>
      <c r="E206" s="3">
        <v>5</v>
      </c>
      <c r="F206" s="3">
        <v>16072</v>
      </c>
      <c r="G206" s="3">
        <f t="shared" si="6"/>
        <v>983928</v>
      </c>
    </row>
    <row r="207" spans="1:7" x14ac:dyDescent="0.3">
      <c r="A207" s="3">
        <v>205</v>
      </c>
      <c r="B207" s="3">
        <f t="shared" si="5"/>
        <v>98</v>
      </c>
      <c r="C207" s="3">
        <v>1000000</v>
      </c>
      <c r="D207" s="3">
        <v>1000000</v>
      </c>
      <c r="E207" s="3">
        <v>4</v>
      </c>
      <c r="F207" s="3">
        <v>16424</v>
      </c>
      <c r="G207" s="3">
        <f t="shared" si="6"/>
        <v>983576</v>
      </c>
    </row>
    <row r="208" spans="1:7" x14ac:dyDescent="0.3">
      <c r="A208" s="3">
        <v>206</v>
      </c>
      <c r="B208" s="3">
        <f t="shared" si="5"/>
        <v>88</v>
      </c>
      <c r="C208" s="3">
        <v>1000000</v>
      </c>
      <c r="D208" s="3">
        <v>1000000</v>
      </c>
      <c r="E208" s="3">
        <v>2</v>
      </c>
      <c r="F208" s="3">
        <v>16512</v>
      </c>
      <c r="G208" s="3">
        <f t="shared" si="6"/>
        <v>983488</v>
      </c>
    </row>
    <row r="209" spans="1:7" x14ac:dyDescent="0.3">
      <c r="A209" s="3">
        <v>207</v>
      </c>
      <c r="B209" s="3">
        <f t="shared" si="5"/>
        <v>103</v>
      </c>
      <c r="C209" s="3">
        <v>1000000</v>
      </c>
      <c r="D209" s="3">
        <v>1000000</v>
      </c>
      <c r="E209" s="3">
        <v>5</v>
      </c>
      <c r="F209" s="3">
        <v>16615</v>
      </c>
      <c r="G209" s="3">
        <f t="shared" si="6"/>
        <v>983385</v>
      </c>
    </row>
    <row r="210" spans="1:7" x14ac:dyDescent="0.3">
      <c r="A210" s="3">
        <v>208</v>
      </c>
      <c r="B210" s="3">
        <f t="shared" si="5"/>
        <v>108</v>
      </c>
      <c r="C210" s="3">
        <v>1000000</v>
      </c>
      <c r="D210" s="3">
        <v>1000000</v>
      </c>
      <c r="E210" s="3">
        <v>6</v>
      </c>
      <c r="F210" s="3">
        <v>16723</v>
      </c>
      <c r="G210" s="3">
        <f t="shared" si="6"/>
        <v>983277</v>
      </c>
    </row>
    <row r="211" spans="1:7" x14ac:dyDescent="0.3">
      <c r="A211" s="3">
        <v>209</v>
      </c>
      <c r="B211" s="3">
        <f t="shared" si="5"/>
        <v>118</v>
      </c>
      <c r="C211" s="3">
        <v>800000</v>
      </c>
      <c r="D211" s="3">
        <v>800000</v>
      </c>
      <c r="E211" s="3">
        <v>8</v>
      </c>
      <c r="F211" s="3">
        <v>16841</v>
      </c>
      <c r="G211" s="3">
        <f t="shared" si="6"/>
        <v>783159</v>
      </c>
    </row>
    <row r="212" spans="1:7" x14ac:dyDescent="0.3">
      <c r="A212" s="3">
        <v>210</v>
      </c>
      <c r="B212" s="3">
        <f t="shared" si="5"/>
        <v>118</v>
      </c>
      <c r="C212" s="3">
        <v>1600000</v>
      </c>
      <c r="D212" s="3">
        <v>1600000</v>
      </c>
      <c r="E212" s="3">
        <v>8</v>
      </c>
      <c r="F212" s="3">
        <v>16959</v>
      </c>
      <c r="G212" s="3">
        <f t="shared" si="6"/>
        <v>1583041</v>
      </c>
    </row>
    <row r="213" spans="1:7" x14ac:dyDescent="0.3">
      <c r="A213" s="3">
        <v>211</v>
      </c>
      <c r="B213" s="3">
        <f t="shared" si="5"/>
        <v>118</v>
      </c>
      <c r="C213" s="3">
        <v>200000</v>
      </c>
      <c r="D213" s="3">
        <v>200000</v>
      </c>
      <c r="E213" s="3">
        <v>8</v>
      </c>
      <c r="F213" s="3">
        <v>16959</v>
      </c>
      <c r="G213" s="3">
        <f t="shared" si="6"/>
        <v>183041</v>
      </c>
    </row>
    <row r="214" spans="1:7" x14ac:dyDescent="0.3">
      <c r="A214" s="3">
        <v>212</v>
      </c>
      <c r="B214" s="3">
        <f>IF(E214&lt;=16,32*2+(28+10*E214)*0.2,32*2+(33+10*E214)*0.2)</f>
        <v>73.599999999999994</v>
      </c>
      <c r="C214" s="3">
        <v>2000</v>
      </c>
      <c r="D214" s="3">
        <v>2000</v>
      </c>
      <c r="E214" s="3">
        <v>2</v>
      </c>
      <c r="F214" s="3">
        <v>271</v>
      </c>
      <c r="G214" s="3">
        <f t="shared" si="6"/>
        <v>1729</v>
      </c>
    </row>
    <row r="215" spans="1:7" x14ac:dyDescent="0.3">
      <c r="A215" s="3">
        <v>213</v>
      </c>
      <c r="B215" s="3">
        <f t="shared" ref="B215:B221" si="7">IF(E215&lt;=16,32*2+(28+10*E215)*0.2,32*2+(33+10*E215)*0.2)</f>
        <v>71.599999999999994</v>
      </c>
      <c r="C215" s="3">
        <v>2000</v>
      </c>
      <c r="D215" s="3">
        <v>2000</v>
      </c>
      <c r="E215" s="3">
        <v>1</v>
      </c>
      <c r="F215" s="3">
        <v>342</v>
      </c>
      <c r="G215" s="3">
        <f t="shared" si="6"/>
        <v>1658</v>
      </c>
    </row>
    <row r="216" spans="1:7" x14ac:dyDescent="0.3">
      <c r="A216" s="3">
        <v>214</v>
      </c>
      <c r="B216" s="3">
        <f t="shared" si="7"/>
        <v>71.599999999999994</v>
      </c>
      <c r="C216" s="3">
        <v>2000</v>
      </c>
      <c r="D216" s="3">
        <v>2000</v>
      </c>
      <c r="E216" s="3">
        <v>1</v>
      </c>
      <c r="F216" s="3">
        <v>413</v>
      </c>
      <c r="G216" s="3">
        <f t="shared" si="6"/>
        <v>1587</v>
      </c>
    </row>
    <row r="217" spans="1:7" x14ac:dyDescent="0.3">
      <c r="A217" s="3">
        <v>215</v>
      </c>
      <c r="B217" s="3">
        <f t="shared" si="7"/>
        <v>73.599999999999994</v>
      </c>
      <c r="C217" s="3">
        <v>2000</v>
      </c>
      <c r="D217" s="3">
        <v>2000</v>
      </c>
      <c r="E217" s="3">
        <v>2</v>
      </c>
      <c r="F217" s="3">
        <v>486</v>
      </c>
      <c r="G217" s="3">
        <f t="shared" si="6"/>
        <v>1514</v>
      </c>
    </row>
    <row r="218" spans="1:7" x14ac:dyDescent="0.3">
      <c r="A218" s="3">
        <v>216</v>
      </c>
      <c r="B218" s="3">
        <f t="shared" si="7"/>
        <v>75.599999999999994</v>
      </c>
      <c r="C218" s="3">
        <v>3000</v>
      </c>
      <c r="D218" s="3">
        <v>3000</v>
      </c>
      <c r="E218" s="3">
        <v>3</v>
      </c>
      <c r="F218" s="3">
        <v>561</v>
      </c>
      <c r="G218" s="3">
        <f t="shared" si="6"/>
        <v>2439</v>
      </c>
    </row>
    <row r="219" spans="1:7" x14ac:dyDescent="0.3">
      <c r="A219" s="3">
        <v>217</v>
      </c>
      <c r="B219" s="3">
        <f t="shared" si="7"/>
        <v>73.599999999999994</v>
      </c>
      <c r="C219" s="3">
        <v>3000</v>
      </c>
      <c r="D219" s="3">
        <v>3000</v>
      </c>
      <c r="E219" s="3">
        <v>2</v>
      </c>
      <c r="F219" s="3">
        <v>634</v>
      </c>
      <c r="G219" s="3">
        <f t="shared" si="6"/>
        <v>2366</v>
      </c>
    </row>
    <row r="220" spans="1:7" x14ac:dyDescent="0.3">
      <c r="A220" s="3">
        <v>218</v>
      </c>
      <c r="B220" s="3">
        <f t="shared" si="7"/>
        <v>73.599999999999994</v>
      </c>
      <c r="C220" s="3">
        <v>3000</v>
      </c>
      <c r="D220" s="3">
        <v>3000</v>
      </c>
      <c r="E220" s="3">
        <v>2</v>
      </c>
      <c r="F220" s="3">
        <v>707</v>
      </c>
      <c r="G220" s="3">
        <f t="shared" si="6"/>
        <v>2293</v>
      </c>
    </row>
    <row r="221" spans="1:7" x14ac:dyDescent="0.3">
      <c r="A221" s="3">
        <v>219</v>
      </c>
      <c r="B221" s="3">
        <f t="shared" si="7"/>
        <v>71.599999999999994</v>
      </c>
      <c r="C221" s="3">
        <v>3000</v>
      </c>
      <c r="D221" s="3">
        <v>3000</v>
      </c>
      <c r="E221" s="3">
        <v>1</v>
      </c>
      <c r="F221" s="3">
        <v>778</v>
      </c>
      <c r="G221" s="3">
        <f t="shared" si="6"/>
        <v>2222</v>
      </c>
    </row>
    <row r="222" spans="1:7" x14ac:dyDescent="0.3">
      <c r="A222" s="3">
        <v>220</v>
      </c>
      <c r="B222" s="3">
        <f>IF(E222&lt;=16,32*2+(28+10*E222)*0.2,32*2+(33+10*E222)*0.2)</f>
        <v>71.599999999999994</v>
      </c>
      <c r="C222" s="3">
        <v>3000</v>
      </c>
      <c r="D222" s="3">
        <v>3000</v>
      </c>
      <c r="E222" s="3">
        <v>1</v>
      </c>
      <c r="F222" s="3">
        <v>849</v>
      </c>
      <c r="G222" s="3">
        <f t="shared" si="6"/>
        <v>2151</v>
      </c>
    </row>
    <row r="223" spans="1:7" x14ac:dyDescent="0.3">
      <c r="A223" s="3">
        <v>221</v>
      </c>
      <c r="B223" s="3">
        <f>IF(E223&lt;=16,32*2+(28+10*E223)*0.2,32*2+(33+10*E223)*0.2)</f>
        <v>77.599999999999994</v>
      </c>
      <c r="C223" s="3">
        <v>4000</v>
      </c>
      <c r="D223" s="3">
        <v>4000</v>
      </c>
      <c r="E223" s="3">
        <v>4</v>
      </c>
      <c r="F223" s="3">
        <v>926</v>
      </c>
      <c r="G223" s="3">
        <f t="shared" si="6"/>
        <v>3074</v>
      </c>
    </row>
    <row r="224" spans="1:7" x14ac:dyDescent="0.3">
      <c r="A224" s="3">
        <v>222</v>
      </c>
      <c r="B224" s="3">
        <f t="shared" ref="B224:B252" si="8">IF(E224&lt;=16,32*2+(28+10*E224)*0.2,32*2+(33+10*E224)*0.2)</f>
        <v>77.599999999999994</v>
      </c>
      <c r="C224" s="3">
        <v>4000</v>
      </c>
      <c r="D224" s="3">
        <v>4000</v>
      </c>
      <c r="E224" s="3">
        <v>4</v>
      </c>
      <c r="F224" s="3">
        <v>1003</v>
      </c>
      <c r="G224" s="3">
        <f t="shared" si="6"/>
        <v>2997</v>
      </c>
    </row>
    <row r="225" spans="1:7" x14ac:dyDescent="0.3">
      <c r="A225" s="3">
        <v>223</v>
      </c>
      <c r="B225" s="3">
        <f t="shared" si="8"/>
        <v>73.599999999999994</v>
      </c>
      <c r="C225" s="3">
        <v>4000</v>
      </c>
      <c r="D225" s="3">
        <v>4000</v>
      </c>
      <c r="E225" s="3">
        <v>2</v>
      </c>
      <c r="F225" s="3">
        <v>1076</v>
      </c>
      <c r="G225" s="3">
        <f t="shared" si="6"/>
        <v>2924</v>
      </c>
    </row>
    <row r="226" spans="1:7" x14ac:dyDescent="0.3">
      <c r="A226" s="3">
        <v>224</v>
      </c>
      <c r="B226" s="3">
        <f t="shared" si="8"/>
        <v>71.599999999999994</v>
      </c>
      <c r="C226" s="3">
        <v>4000</v>
      </c>
      <c r="D226" s="3">
        <v>4000</v>
      </c>
      <c r="E226" s="3">
        <v>1</v>
      </c>
      <c r="F226" s="3">
        <v>1147</v>
      </c>
      <c r="G226" s="3">
        <f t="shared" si="6"/>
        <v>2853</v>
      </c>
    </row>
    <row r="227" spans="1:7" x14ac:dyDescent="0.3">
      <c r="A227" s="3">
        <v>225</v>
      </c>
      <c r="B227" s="3">
        <f t="shared" si="8"/>
        <v>73.599999999999994</v>
      </c>
      <c r="C227" s="3">
        <v>4000</v>
      </c>
      <c r="D227" s="3">
        <v>4000</v>
      </c>
      <c r="E227" s="3">
        <v>2</v>
      </c>
      <c r="F227" s="3">
        <v>1220</v>
      </c>
      <c r="G227" s="3">
        <f t="shared" si="6"/>
        <v>2780</v>
      </c>
    </row>
    <row r="228" spans="1:7" x14ac:dyDescent="0.3">
      <c r="A228" s="3">
        <v>226</v>
      </c>
      <c r="B228" s="3">
        <f t="shared" si="8"/>
        <v>77.599999999999994</v>
      </c>
      <c r="C228" s="3">
        <v>5000</v>
      </c>
      <c r="D228" s="3">
        <v>5000</v>
      </c>
      <c r="E228" s="3">
        <v>4</v>
      </c>
      <c r="F228" s="3">
        <v>1297</v>
      </c>
      <c r="G228" s="3">
        <f t="shared" si="6"/>
        <v>3703</v>
      </c>
    </row>
    <row r="229" spans="1:7" x14ac:dyDescent="0.3">
      <c r="A229" s="3">
        <v>227</v>
      </c>
      <c r="B229" s="3">
        <f t="shared" si="8"/>
        <v>77.599999999999994</v>
      </c>
      <c r="C229" s="3">
        <v>5000</v>
      </c>
      <c r="D229" s="3">
        <v>5000</v>
      </c>
      <c r="E229" s="3">
        <v>4</v>
      </c>
      <c r="F229" s="3">
        <v>1374</v>
      </c>
      <c r="G229" s="3">
        <f t="shared" si="6"/>
        <v>3626</v>
      </c>
    </row>
    <row r="230" spans="1:7" x14ac:dyDescent="0.3">
      <c r="A230" s="3">
        <v>228</v>
      </c>
      <c r="B230" s="3">
        <f t="shared" si="8"/>
        <v>79.599999999999994</v>
      </c>
      <c r="C230" s="3">
        <v>5000</v>
      </c>
      <c r="D230" s="3">
        <v>5000</v>
      </c>
      <c r="E230" s="3">
        <v>5</v>
      </c>
      <c r="F230" s="3">
        <v>1453</v>
      </c>
      <c r="G230" s="3">
        <f t="shared" si="6"/>
        <v>3547</v>
      </c>
    </row>
    <row r="231" spans="1:7" x14ac:dyDescent="0.3">
      <c r="A231" s="3">
        <v>229</v>
      </c>
      <c r="B231" s="3">
        <f t="shared" si="8"/>
        <v>81.599999999999994</v>
      </c>
      <c r="C231" s="3">
        <v>5000</v>
      </c>
      <c r="D231" s="3">
        <v>5000</v>
      </c>
      <c r="E231" s="3">
        <v>6</v>
      </c>
      <c r="F231" s="3">
        <v>1534</v>
      </c>
      <c r="G231" s="3">
        <f t="shared" si="6"/>
        <v>3466</v>
      </c>
    </row>
    <row r="232" spans="1:7" x14ac:dyDescent="0.3">
      <c r="A232" s="3">
        <v>230</v>
      </c>
      <c r="B232" s="3">
        <f t="shared" si="8"/>
        <v>81.599999999999994</v>
      </c>
      <c r="C232" s="3">
        <v>5000</v>
      </c>
      <c r="D232" s="3">
        <v>5000</v>
      </c>
      <c r="E232" s="3">
        <v>6</v>
      </c>
      <c r="F232" s="3">
        <v>1615</v>
      </c>
      <c r="G232" s="3">
        <f t="shared" si="6"/>
        <v>3385</v>
      </c>
    </row>
    <row r="233" spans="1:7" x14ac:dyDescent="0.3">
      <c r="A233" s="3">
        <v>231</v>
      </c>
      <c r="B233" s="3">
        <f t="shared" si="8"/>
        <v>73.599999999999994</v>
      </c>
      <c r="C233" s="3">
        <v>6000</v>
      </c>
      <c r="D233" s="3">
        <v>6000</v>
      </c>
      <c r="E233" s="3">
        <v>2</v>
      </c>
      <c r="F233" s="3">
        <v>1688</v>
      </c>
      <c r="G233" s="3">
        <f t="shared" si="6"/>
        <v>4312</v>
      </c>
    </row>
    <row r="234" spans="1:7" x14ac:dyDescent="0.3">
      <c r="A234" s="3">
        <v>232</v>
      </c>
      <c r="B234" s="3">
        <f t="shared" si="8"/>
        <v>79.599999999999994</v>
      </c>
      <c r="C234" s="3">
        <v>6000</v>
      </c>
      <c r="D234" s="3">
        <v>6000</v>
      </c>
      <c r="E234" s="3">
        <v>5</v>
      </c>
      <c r="F234" s="3">
        <v>1767</v>
      </c>
      <c r="G234" s="3">
        <f t="shared" si="6"/>
        <v>4233</v>
      </c>
    </row>
    <row r="235" spans="1:7" x14ac:dyDescent="0.3">
      <c r="A235" s="3">
        <v>233</v>
      </c>
      <c r="B235" s="3">
        <f t="shared" si="8"/>
        <v>81.599999999999994</v>
      </c>
      <c r="C235" s="3">
        <v>6000</v>
      </c>
      <c r="D235" s="3">
        <v>6000</v>
      </c>
      <c r="E235" s="3">
        <v>6</v>
      </c>
      <c r="F235" s="3">
        <v>1848</v>
      </c>
      <c r="G235" s="3">
        <f t="shared" si="6"/>
        <v>4152</v>
      </c>
    </row>
    <row r="236" spans="1:7" x14ac:dyDescent="0.3">
      <c r="A236" s="3">
        <v>234</v>
      </c>
      <c r="B236" s="3">
        <f t="shared" si="8"/>
        <v>77.599999999999994</v>
      </c>
      <c r="C236" s="3">
        <v>6000</v>
      </c>
      <c r="D236" s="3">
        <v>6000</v>
      </c>
      <c r="E236" s="3">
        <v>4</v>
      </c>
      <c r="F236" s="3">
        <v>1925</v>
      </c>
      <c r="G236" s="3">
        <f t="shared" si="6"/>
        <v>4075</v>
      </c>
    </row>
    <row r="237" spans="1:7" x14ac:dyDescent="0.3">
      <c r="A237" s="3">
        <v>235</v>
      </c>
      <c r="B237" s="3">
        <f t="shared" si="8"/>
        <v>75.599999999999994</v>
      </c>
      <c r="C237" s="3">
        <v>6000</v>
      </c>
      <c r="D237" s="3">
        <v>6000</v>
      </c>
      <c r="E237" s="3">
        <v>3</v>
      </c>
      <c r="F237" s="3">
        <v>2000</v>
      </c>
      <c r="G237" s="3">
        <f t="shared" si="6"/>
        <v>4000</v>
      </c>
    </row>
    <row r="238" spans="1:7" x14ac:dyDescent="0.3">
      <c r="A238" s="3">
        <v>236</v>
      </c>
      <c r="B238" s="3">
        <f t="shared" si="8"/>
        <v>83.6</v>
      </c>
      <c r="C238" s="3">
        <v>8000</v>
      </c>
      <c r="D238" s="3">
        <v>8000</v>
      </c>
      <c r="E238" s="3">
        <v>7</v>
      </c>
      <c r="F238" s="3">
        <v>2371</v>
      </c>
      <c r="G238" s="3">
        <f t="shared" si="6"/>
        <v>5629</v>
      </c>
    </row>
    <row r="239" spans="1:7" x14ac:dyDescent="0.3">
      <c r="A239" s="3">
        <v>237</v>
      </c>
      <c r="B239" s="3">
        <f t="shared" si="8"/>
        <v>79.599999999999994</v>
      </c>
      <c r="C239" s="3">
        <v>8000</v>
      </c>
      <c r="D239" s="3">
        <v>8000</v>
      </c>
      <c r="E239" s="3">
        <v>5</v>
      </c>
      <c r="F239" s="3">
        <v>2450</v>
      </c>
      <c r="G239" s="3">
        <f t="shared" si="6"/>
        <v>5550</v>
      </c>
    </row>
    <row r="240" spans="1:7" x14ac:dyDescent="0.3">
      <c r="A240" s="3">
        <v>238</v>
      </c>
      <c r="B240" s="3">
        <f t="shared" si="8"/>
        <v>77.599999999999994</v>
      </c>
      <c r="C240" s="3">
        <v>8000</v>
      </c>
      <c r="D240" s="3">
        <v>8000</v>
      </c>
      <c r="E240" s="3">
        <v>4</v>
      </c>
      <c r="F240" s="3">
        <v>2527</v>
      </c>
      <c r="G240" s="3">
        <f t="shared" si="6"/>
        <v>5473</v>
      </c>
    </row>
    <row r="241" spans="1:7" x14ac:dyDescent="0.3">
      <c r="A241" s="3">
        <v>239</v>
      </c>
      <c r="B241" s="3">
        <f t="shared" si="8"/>
        <v>77.599999999999994</v>
      </c>
      <c r="C241" s="3">
        <v>10000</v>
      </c>
      <c r="D241" s="3">
        <v>10000</v>
      </c>
      <c r="E241" s="3">
        <v>4</v>
      </c>
      <c r="F241" s="3">
        <v>2604</v>
      </c>
      <c r="G241" s="3">
        <f t="shared" si="6"/>
        <v>7396</v>
      </c>
    </row>
    <row r="242" spans="1:7" x14ac:dyDescent="0.3">
      <c r="A242" s="3">
        <v>240</v>
      </c>
      <c r="B242" s="3">
        <f t="shared" si="8"/>
        <v>79.599999999999994</v>
      </c>
      <c r="C242" s="3">
        <v>10000</v>
      </c>
      <c r="D242" s="3">
        <v>10000</v>
      </c>
      <c r="E242" s="3">
        <v>5</v>
      </c>
      <c r="F242" s="3">
        <v>2683</v>
      </c>
      <c r="G242" s="3">
        <f t="shared" si="6"/>
        <v>7317</v>
      </c>
    </row>
    <row r="243" spans="1:7" x14ac:dyDescent="0.3">
      <c r="A243" s="3">
        <v>241</v>
      </c>
      <c r="B243" s="3">
        <f t="shared" si="8"/>
        <v>81.599999999999994</v>
      </c>
      <c r="C243" s="3">
        <v>10000</v>
      </c>
      <c r="D243" s="3">
        <v>10000</v>
      </c>
      <c r="E243" s="3">
        <v>6</v>
      </c>
      <c r="F243" s="3">
        <v>2764</v>
      </c>
      <c r="G243" s="3">
        <f t="shared" si="6"/>
        <v>7236</v>
      </c>
    </row>
    <row r="244" spans="1:7" x14ac:dyDescent="0.3">
      <c r="A244" s="3">
        <v>242</v>
      </c>
      <c r="B244" s="3">
        <f t="shared" si="8"/>
        <v>85.6</v>
      </c>
      <c r="C244" s="3">
        <v>15000</v>
      </c>
      <c r="D244" s="3">
        <v>15000</v>
      </c>
      <c r="E244" s="3">
        <v>8</v>
      </c>
      <c r="F244" s="3">
        <v>2849</v>
      </c>
      <c r="G244" s="3">
        <f t="shared" si="6"/>
        <v>12151</v>
      </c>
    </row>
    <row r="245" spans="1:7" x14ac:dyDescent="0.3">
      <c r="A245" s="3">
        <v>243</v>
      </c>
      <c r="B245" s="3">
        <f t="shared" si="8"/>
        <v>77.599999999999994</v>
      </c>
      <c r="C245" s="3">
        <v>15000</v>
      </c>
      <c r="D245" s="3">
        <v>15000</v>
      </c>
      <c r="E245" s="3">
        <v>4</v>
      </c>
      <c r="F245" s="3">
        <v>2926</v>
      </c>
      <c r="G245" s="3">
        <f t="shared" si="6"/>
        <v>12074</v>
      </c>
    </row>
    <row r="246" spans="1:7" x14ac:dyDescent="0.3">
      <c r="A246" s="3">
        <v>244</v>
      </c>
      <c r="B246" s="3">
        <f t="shared" si="8"/>
        <v>93.6</v>
      </c>
      <c r="C246" s="3">
        <v>20000</v>
      </c>
      <c r="D246" s="3">
        <v>20000</v>
      </c>
      <c r="E246" s="3">
        <v>12</v>
      </c>
      <c r="F246" s="3">
        <v>3019</v>
      </c>
      <c r="G246" s="3">
        <f t="shared" si="6"/>
        <v>16981</v>
      </c>
    </row>
    <row r="247" spans="1:7" x14ac:dyDescent="0.3">
      <c r="A247" s="3">
        <v>245</v>
      </c>
      <c r="B247" s="3">
        <f t="shared" si="8"/>
        <v>101.6</v>
      </c>
      <c r="C247" s="3">
        <v>20000</v>
      </c>
      <c r="D247" s="3">
        <v>20000</v>
      </c>
      <c r="E247" s="3">
        <v>16</v>
      </c>
      <c r="F247" s="3">
        <v>3483</v>
      </c>
      <c r="G247" s="3">
        <f t="shared" si="6"/>
        <v>16517</v>
      </c>
    </row>
    <row r="248" spans="1:7" x14ac:dyDescent="0.3">
      <c r="A248" s="3">
        <v>246</v>
      </c>
      <c r="B248" s="3">
        <f t="shared" si="8"/>
        <v>101.6</v>
      </c>
      <c r="C248" s="3">
        <v>20000</v>
      </c>
      <c r="D248" s="3">
        <v>20000</v>
      </c>
      <c r="E248" s="3">
        <v>16</v>
      </c>
      <c r="F248" s="3">
        <v>3584</v>
      </c>
      <c r="G248" s="3">
        <f t="shared" si="6"/>
        <v>16416</v>
      </c>
    </row>
    <row r="249" spans="1:7" x14ac:dyDescent="0.3">
      <c r="A249" s="3">
        <v>247</v>
      </c>
      <c r="B249" s="3">
        <f t="shared" si="8"/>
        <v>101.6</v>
      </c>
      <c r="C249" s="3">
        <v>50000</v>
      </c>
      <c r="D249" s="3">
        <v>50000</v>
      </c>
      <c r="E249" s="3">
        <v>16</v>
      </c>
      <c r="F249" s="3">
        <v>3685</v>
      </c>
      <c r="G249" s="3">
        <f t="shared" si="6"/>
        <v>46315</v>
      </c>
    </row>
    <row r="250" spans="1:7" x14ac:dyDescent="0.3">
      <c r="A250" s="3">
        <v>248</v>
      </c>
      <c r="B250" s="3">
        <f t="shared" si="8"/>
        <v>118.6</v>
      </c>
      <c r="C250" s="3">
        <v>50000</v>
      </c>
      <c r="D250" s="3">
        <v>50000</v>
      </c>
      <c r="E250" s="3">
        <v>24</v>
      </c>
      <c r="F250" s="3">
        <v>3803</v>
      </c>
      <c r="G250" s="3">
        <f t="shared" si="6"/>
        <v>46197</v>
      </c>
    </row>
    <row r="251" spans="1:7" x14ac:dyDescent="0.3">
      <c r="A251" s="3">
        <v>249</v>
      </c>
      <c r="B251" s="3">
        <f t="shared" si="8"/>
        <v>134.60000000000002</v>
      </c>
      <c r="C251" s="3">
        <v>50000</v>
      </c>
      <c r="D251" s="3">
        <v>50000</v>
      </c>
      <c r="E251" s="3">
        <v>32</v>
      </c>
      <c r="F251" s="3">
        <v>3937</v>
      </c>
      <c r="G251" s="3">
        <f t="shared" si="6"/>
        <v>46063</v>
      </c>
    </row>
    <row r="252" spans="1:7" x14ac:dyDescent="0.3">
      <c r="A252" s="3">
        <v>250</v>
      </c>
      <c r="B252" s="3">
        <f t="shared" si="8"/>
        <v>198.6</v>
      </c>
      <c r="C252" s="3">
        <v>100000</v>
      </c>
      <c r="D252" s="3">
        <v>100000</v>
      </c>
      <c r="E252" s="3">
        <v>64</v>
      </c>
      <c r="F252" s="3">
        <v>3937</v>
      </c>
      <c r="G252" s="3">
        <f t="shared" si="6"/>
        <v>96063</v>
      </c>
    </row>
  </sheetData>
  <mergeCells count="1">
    <mergeCell ref="A1:G1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D95AD-FFDE-496B-A39B-CB7835B22740}">
  <dimension ref="A1:G66"/>
  <sheetViews>
    <sheetView workbookViewId="0">
      <selection sqref="A1:G66"/>
    </sheetView>
  </sheetViews>
  <sheetFormatPr defaultRowHeight="14" x14ac:dyDescent="0.3"/>
  <cols>
    <col min="2" max="2" width="19.83203125" customWidth="1"/>
    <col min="3" max="3" width="9.75" customWidth="1"/>
    <col min="4" max="4" width="12.4140625" customWidth="1"/>
    <col min="5" max="5" width="17.6640625" customWidth="1"/>
    <col min="6" max="6" width="10.4140625" customWidth="1"/>
    <col min="7" max="7" width="12.58203125" customWidth="1"/>
  </cols>
  <sheetData>
    <row r="1" spans="1:7" x14ac:dyDescent="0.3">
      <c r="A1" s="4" t="s">
        <v>0</v>
      </c>
      <c r="B1" s="5"/>
      <c r="C1" s="5"/>
      <c r="D1" s="5"/>
      <c r="E1" s="5"/>
      <c r="F1" s="5"/>
      <c r="G1" s="5"/>
    </row>
    <row r="2" spans="1:7" x14ac:dyDescent="0.3">
      <c r="A2" s="1" t="s">
        <v>1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4</v>
      </c>
      <c r="G2" s="2" t="s">
        <v>5</v>
      </c>
    </row>
    <row r="3" spans="1:7" x14ac:dyDescent="0.3">
      <c r="A3" s="3">
        <v>1</v>
      </c>
      <c r="B3" s="3">
        <v>230</v>
      </c>
      <c r="C3" s="3">
        <v>10000</v>
      </c>
      <c r="D3" s="3">
        <v>10000</v>
      </c>
      <c r="E3" s="3">
        <v>6</v>
      </c>
      <c r="F3" s="3">
        <v>500</v>
      </c>
      <c r="G3" s="3">
        <f t="shared" ref="G3:G34" si="0">C3-F3</f>
        <v>9500</v>
      </c>
    </row>
    <row r="4" spans="1:7" x14ac:dyDescent="0.3">
      <c r="A4" s="3">
        <v>2</v>
      </c>
      <c r="B4" s="3">
        <v>210</v>
      </c>
      <c r="C4" s="3">
        <v>10000</v>
      </c>
      <c r="D4" s="3">
        <v>10000</v>
      </c>
      <c r="E4" s="3">
        <v>5</v>
      </c>
      <c r="F4" s="3">
        <v>710</v>
      </c>
      <c r="G4" s="3">
        <f t="shared" si="0"/>
        <v>9290</v>
      </c>
    </row>
    <row r="5" spans="1:7" x14ac:dyDescent="0.3">
      <c r="A5" s="3">
        <v>3</v>
      </c>
      <c r="B5" s="3">
        <v>250</v>
      </c>
      <c r="C5" s="3">
        <v>10000</v>
      </c>
      <c r="D5" s="3">
        <v>10000</v>
      </c>
      <c r="E5" s="3">
        <v>7</v>
      </c>
      <c r="F5" s="3">
        <v>960</v>
      </c>
      <c r="G5" s="3">
        <f t="shared" si="0"/>
        <v>9040</v>
      </c>
    </row>
    <row r="6" spans="1:7" x14ac:dyDescent="0.3">
      <c r="A6" s="3">
        <v>4</v>
      </c>
      <c r="B6" s="3">
        <v>170</v>
      </c>
      <c r="C6" s="3">
        <v>10000</v>
      </c>
      <c r="D6" s="3">
        <v>10000</v>
      </c>
      <c r="E6" s="3">
        <v>3</v>
      </c>
      <c r="F6" s="3">
        <v>1130</v>
      </c>
      <c r="G6" s="3">
        <f t="shared" si="0"/>
        <v>8870</v>
      </c>
    </row>
    <row r="7" spans="1:7" x14ac:dyDescent="0.3">
      <c r="A7" s="3">
        <v>5</v>
      </c>
      <c r="B7" s="3">
        <v>250</v>
      </c>
      <c r="C7" s="3">
        <v>10000</v>
      </c>
      <c r="D7" s="3">
        <v>10000</v>
      </c>
      <c r="E7" s="3">
        <v>7</v>
      </c>
      <c r="F7" s="3">
        <v>1380</v>
      </c>
      <c r="G7" s="3">
        <f t="shared" si="0"/>
        <v>8620</v>
      </c>
    </row>
    <row r="8" spans="1:7" x14ac:dyDescent="0.3">
      <c r="A8" s="3">
        <v>6</v>
      </c>
      <c r="B8" s="3">
        <v>190</v>
      </c>
      <c r="C8" s="3">
        <v>25000</v>
      </c>
      <c r="D8" s="3">
        <v>25000</v>
      </c>
      <c r="E8" s="3">
        <v>4</v>
      </c>
      <c r="F8" s="3">
        <v>1570</v>
      </c>
      <c r="G8" s="3">
        <f t="shared" si="0"/>
        <v>23430</v>
      </c>
    </row>
    <row r="9" spans="1:7" x14ac:dyDescent="0.3">
      <c r="A9" s="3">
        <v>7</v>
      </c>
      <c r="B9" s="3">
        <v>270</v>
      </c>
      <c r="C9" s="3">
        <v>100000</v>
      </c>
      <c r="D9" s="3">
        <v>100000</v>
      </c>
      <c r="E9" s="3">
        <v>8</v>
      </c>
      <c r="F9" s="3">
        <v>1840</v>
      </c>
      <c r="G9" s="3">
        <f t="shared" si="0"/>
        <v>98160</v>
      </c>
    </row>
    <row r="10" spans="1:7" x14ac:dyDescent="0.3">
      <c r="A10" s="3">
        <v>8</v>
      </c>
      <c r="B10" s="3">
        <v>270</v>
      </c>
      <c r="C10" s="3">
        <v>100000</v>
      </c>
      <c r="D10" s="3">
        <v>100000</v>
      </c>
      <c r="E10" s="3">
        <v>8</v>
      </c>
      <c r="F10" s="3">
        <v>2110</v>
      </c>
      <c r="G10" s="3">
        <f t="shared" si="0"/>
        <v>97890</v>
      </c>
    </row>
    <row r="11" spans="1:7" x14ac:dyDescent="0.3">
      <c r="A11" s="3">
        <v>9</v>
      </c>
      <c r="B11" s="3">
        <v>270</v>
      </c>
      <c r="C11" s="3">
        <v>100000</v>
      </c>
      <c r="D11" s="3">
        <v>100000</v>
      </c>
      <c r="E11" s="3">
        <v>8</v>
      </c>
      <c r="F11" s="3">
        <v>2380</v>
      </c>
      <c r="G11" s="3">
        <f t="shared" si="0"/>
        <v>97620</v>
      </c>
    </row>
    <row r="12" spans="1:7" x14ac:dyDescent="0.3">
      <c r="A12" s="3">
        <v>10</v>
      </c>
      <c r="B12" s="3">
        <v>250</v>
      </c>
      <c r="C12" s="3">
        <v>100000</v>
      </c>
      <c r="D12" s="3">
        <v>100000</v>
      </c>
      <c r="E12" s="3">
        <v>7</v>
      </c>
      <c r="F12" s="3">
        <v>2630</v>
      </c>
      <c r="G12" s="3">
        <f t="shared" si="0"/>
        <v>97370</v>
      </c>
    </row>
    <row r="13" spans="1:7" x14ac:dyDescent="0.3">
      <c r="A13" s="3">
        <v>11</v>
      </c>
      <c r="B13" s="3">
        <v>210</v>
      </c>
      <c r="C13" s="3">
        <v>1000000</v>
      </c>
      <c r="D13" s="3">
        <v>1000000</v>
      </c>
      <c r="E13" s="3">
        <v>5</v>
      </c>
      <c r="F13" s="3">
        <v>2840</v>
      </c>
      <c r="G13" s="3">
        <f t="shared" si="0"/>
        <v>997160</v>
      </c>
    </row>
    <row r="14" spans="1:7" x14ac:dyDescent="0.3">
      <c r="A14" s="3">
        <v>12</v>
      </c>
      <c r="B14" s="3">
        <v>270</v>
      </c>
      <c r="C14" s="3">
        <v>100000</v>
      </c>
      <c r="D14" s="3">
        <v>100000</v>
      </c>
      <c r="E14" s="3">
        <v>8</v>
      </c>
      <c r="F14" s="3">
        <v>3110</v>
      </c>
      <c r="G14" s="3">
        <f t="shared" si="0"/>
        <v>96890</v>
      </c>
    </row>
    <row r="15" spans="1:7" x14ac:dyDescent="0.3">
      <c r="A15" s="3">
        <v>13</v>
      </c>
      <c r="B15" s="3">
        <v>270</v>
      </c>
      <c r="C15" s="3">
        <v>100000</v>
      </c>
      <c r="D15" s="3">
        <v>100000</v>
      </c>
      <c r="E15" s="3">
        <v>8</v>
      </c>
      <c r="F15" s="3">
        <v>3380</v>
      </c>
      <c r="G15" s="3">
        <f t="shared" si="0"/>
        <v>96620</v>
      </c>
    </row>
    <row r="16" spans="1:7" x14ac:dyDescent="0.3">
      <c r="A16" s="3">
        <v>14</v>
      </c>
      <c r="B16" s="3">
        <v>270</v>
      </c>
      <c r="C16" s="3">
        <v>200000</v>
      </c>
      <c r="D16" s="3">
        <v>200000</v>
      </c>
      <c r="E16" s="3">
        <v>8</v>
      </c>
      <c r="F16" s="3">
        <v>3650</v>
      </c>
      <c r="G16" s="3">
        <f t="shared" si="0"/>
        <v>196350</v>
      </c>
    </row>
    <row r="17" spans="1:7" x14ac:dyDescent="0.3">
      <c r="A17" s="3">
        <v>15</v>
      </c>
      <c r="B17" s="3">
        <v>210</v>
      </c>
      <c r="C17" s="3">
        <v>1000000</v>
      </c>
      <c r="D17" s="3">
        <v>1000000</v>
      </c>
      <c r="E17" s="3">
        <v>5</v>
      </c>
      <c r="F17" s="3">
        <v>3860</v>
      </c>
      <c r="G17" s="3">
        <f t="shared" si="0"/>
        <v>996140</v>
      </c>
    </row>
    <row r="18" spans="1:7" x14ac:dyDescent="0.3">
      <c r="A18" s="3">
        <v>16</v>
      </c>
      <c r="B18" s="3">
        <v>270</v>
      </c>
      <c r="C18" s="3">
        <v>10000</v>
      </c>
      <c r="D18" s="3">
        <v>10000</v>
      </c>
      <c r="E18" s="3">
        <v>8</v>
      </c>
      <c r="F18" s="3">
        <v>4130</v>
      </c>
      <c r="G18" s="3">
        <f t="shared" si="0"/>
        <v>5870</v>
      </c>
    </row>
    <row r="19" spans="1:7" x14ac:dyDescent="0.3">
      <c r="A19" s="3">
        <v>17</v>
      </c>
      <c r="B19" s="3">
        <v>250</v>
      </c>
      <c r="C19" s="3">
        <v>10000</v>
      </c>
      <c r="D19" s="3">
        <v>10000</v>
      </c>
      <c r="E19" s="3">
        <v>7</v>
      </c>
      <c r="F19" s="3">
        <v>4380</v>
      </c>
      <c r="G19" s="3">
        <f t="shared" si="0"/>
        <v>5620</v>
      </c>
    </row>
    <row r="20" spans="1:7" x14ac:dyDescent="0.3">
      <c r="A20" s="3">
        <v>18</v>
      </c>
      <c r="B20" s="3">
        <v>270</v>
      </c>
      <c r="C20" s="3">
        <v>100000</v>
      </c>
      <c r="D20" s="3">
        <v>100000</v>
      </c>
      <c r="E20" s="3">
        <v>8</v>
      </c>
      <c r="F20" s="3">
        <v>4650</v>
      </c>
      <c r="G20" s="3">
        <f t="shared" si="0"/>
        <v>95350</v>
      </c>
    </row>
    <row r="21" spans="1:7" x14ac:dyDescent="0.3">
      <c r="A21" s="3">
        <v>19</v>
      </c>
      <c r="B21" s="3">
        <v>270</v>
      </c>
      <c r="C21" s="3">
        <v>100000</v>
      </c>
      <c r="D21" s="3">
        <v>100000</v>
      </c>
      <c r="E21" s="3">
        <v>8</v>
      </c>
      <c r="F21" s="3">
        <v>4920</v>
      </c>
      <c r="G21" s="3">
        <f t="shared" si="0"/>
        <v>95080</v>
      </c>
    </row>
    <row r="22" spans="1:7" x14ac:dyDescent="0.3">
      <c r="A22" s="3">
        <v>20</v>
      </c>
      <c r="B22" s="3">
        <v>270</v>
      </c>
      <c r="C22" s="3">
        <v>100000</v>
      </c>
      <c r="D22" s="3">
        <v>100000</v>
      </c>
      <c r="E22" s="3">
        <v>8</v>
      </c>
      <c r="F22" s="3">
        <v>5190</v>
      </c>
      <c r="G22" s="3">
        <f t="shared" si="0"/>
        <v>94810</v>
      </c>
    </row>
    <row r="23" spans="1:7" x14ac:dyDescent="0.3">
      <c r="A23" s="3">
        <v>21</v>
      </c>
      <c r="B23" s="3">
        <v>170</v>
      </c>
      <c r="C23" s="3">
        <v>100000</v>
      </c>
      <c r="D23" s="3">
        <v>100000</v>
      </c>
      <c r="E23" s="3">
        <v>3</v>
      </c>
      <c r="F23" s="3">
        <v>5360</v>
      </c>
      <c r="G23" s="3">
        <f t="shared" si="0"/>
        <v>94640</v>
      </c>
    </row>
    <row r="24" spans="1:7" x14ac:dyDescent="0.3">
      <c r="A24" s="3">
        <v>22</v>
      </c>
      <c r="B24" s="3">
        <v>210</v>
      </c>
      <c r="C24" s="3">
        <v>1000000</v>
      </c>
      <c r="D24" s="3">
        <v>1000000</v>
      </c>
      <c r="E24" s="3">
        <v>5</v>
      </c>
      <c r="F24" s="3">
        <v>5570</v>
      </c>
      <c r="G24" s="3">
        <f t="shared" si="0"/>
        <v>994430</v>
      </c>
    </row>
    <row r="25" spans="1:7" x14ac:dyDescent="0.3">
      <c r="A25" s="3">
        <v>23</v>
      </c>
      <c r="B25" s="3">
        <v>270</v>
      </c>
      <c r="C25" s="3">
        <v>10000</v>
      </c>
      <c r="D25" s="3">
        <v>10000</v>
      </c>
      <c r="E25" s="3">
        <v>8</v>
      </c>
      <c r="F25" s="3">
        <v>5840</v>
      </c>
      <c r="G25" s="3">
        <f t="shared" si="0"/>
        <v>4160</v>
      </c>
    </row>
    <row r="26" spans="1:7" x14ac:dyDescent="0.3">
      <c r="A26" s="3">
        <v>24</v>
      </c>
      <c r="B26" s="3">
        <v>170</v>
      </c>
      <c r="C26" s="3">
        <v>100000</v>
      </c>
      <c r="D26" s="3">
        <v>100000</v>
      </c>
      <c r="E26" s="3">
        <v>3</v>
      </c>
      <c r="F26" s="3">
        <v>6010</v>
      </c>
      <c r="G26" s="3">
        <f t="shared" si="0"/>
        <v>93990</v>
      </c>
    </row>
    <row r="27" spans="1:7" x14ac:dyDescent="0.3">
      <c r="A27" s="3">
        <v>25</v>
      </c>
      <c r="B27" s="3">
        <v>270</v>
      </c>
      <c r="C27" s="3">
        <v>100000</v>
      </c>
      <c r="D27" s="3">
        <v>100000</v>
      </c>
      <c r="E27" s="3">
        <v>8</v>
      </c>
      <c r="F27" s="3">
        <v>6280</v>
      </c>
      <c r="G27" s="3">
        <f t="shared" si="0"/>
        <v>93720</v>
      </c>
    </row>
    <row r="28" spans="1:7" x14ac:dyDescent="0.3">
      <c r="A28" s="3">
        <v>26</v>
      </c>
      <c r="B28" s="3">
        <v>270</v>
      </c>
      <c r="C28" s="3">
        <v>100000</v>
      </c>
      <c r="D28" s="3">
        <v>100000</v>
      </c>
      <c r="E28" s="3">
        <v>8</v>
      </c>
      <c r="F28" s="3">
        <v>6550</v>
      </c>
      <c r="G28" s="3">
        <f t="shared" si="0"/>
        <v>93450</v>
      </c>
    </row>
    <row r="29" spans="1:7" x14ac:dyDescent="0.3">
      <c r="A29" s="3">
        <v>27</v>
      </c>
      <c r="B29" s="3">
        <v>210</v>
      </c>
      <c r="C29" s="3">
        <v>100000</v>
      </c>
      <c r="D29" s="3">
        <v>100000</v>
      </c>
      <c r="E29" s="3">
        <v>5</v>
      </c>
      <c r="F29" s="3">
        <v>6760</v>
      </c>
      <c r="G29" s="3">
        <f t="shared" si="0"/>
        <v>93240</v>
      </c>
    </row>
    <row r="30" spans="1:7" x14ac:dyDescent="0.3">
      <c r="A30" s="3">
        <v>28</v>
      </c>
      <c r="B30" s="3">
        <v>210</v>
      </c>
      <c r="C30" s="3">
        <v>1000000</v>
      </c>
      <c r="D30" s="3">
        <v>1000000</v>
      </c>
      <c r="E30" s="3">
        <v>5</v>
      </c>
      <c r="F30" s="3">
        <v>6970</v>
      </c>
      <c r="G30" s="3">
        <f t="shared" si="0"/>
        <v>993030</v>
      </c>
    </row>
    <row r="31" spans="1:7" x14ac:dyDescent="0.3">
      <c r="A31" s="3">
        <v>29</v>
      </c>
      <c r="B31" s="3">
        <v>270</v>
      </c>
      <c r="C31" s="3">
        <v>100000</v>
      </c>
      <c r="D31" s="3">
        <v>100000</v>
      </c>
      <c r="E31" s="3">
        <v>8</v>
      </c>
      <c r="F31" s="3">
        <v>7240</v>
      </c>
      <c r="G31" s="3">
        <f t="shared" si="0"/>
        <v>92760</v>
      </c>
    </row>
    <row r="32" spans="1:7" x14ac:dyDescent="0.3">
      <c r="A32" s="3">
        <v>30</v>
      </c>
      <c r="B32" s="3">
        <v>270</v>
      </c>
      <c r="C32" s="3">
        <v>100000</v>
      </c>
      <c r="D32" s="3">
        <v>100000</v>
      </c>
      <c r="E32" s="3">
        <v>8</v>
      </c>
      <c r="F32" s="3">
        <v>7510</v>
      </c>
      <c r="G32" s="3">
        <f t="shared" si="0"/>
        <v>92490</v>
      </c>
    </row>
    <row r="33" spans="1:7" x14ac:dyDescent="0.3">
      <c r="A33" s="3">
        <v>31</v>
      </c>
      <c r="B33" s="3">
        <v>270</v>
      </c>
      <c r="C33" s="3">
        <v>100000</v>
      </c>
      <c r="D33" s="3">
        <v>100000</v>
      </c>
      <c r="E33" s="3">
        <v>8</v>
      </c>
      <c r="F33" s="3">
        <v>7780</v>
      </c>
      <c r="G33" s="3">
        <f t="shared" si="0"/>
        <v>92220</v>
      </c>
    </row>
    <row r="34" spans="1:7" x14ac:dyDescent="0.3">
      <c r="A34" s="3">
        <v>32</v>
      </c>
      <c r="B34" s="3">
        <v>210</v>
      </c>
      <c r="C34" s="3">
        <v>1000000</v>
      </c>
      <c r="D34" s="3">
        <v>1000000</v>
      </c>
      <c r="E34" s="3">
        <v>5</v>
      </c>
      <c r="F34" s="3">
        <v>7990</v>
      </c>
      <c r="G34" s="3">
        <f t="shared" si="0"/>
        <v>992010</v>
      </c>
    </row>
    <row r="35" spans="1:7" x14ac:dyDescent="0.3">
      <c r="A35" s="3">
        <v>33</v>
      </c>
      <c r="B35" s="3">
        <v>270</v>
      </c>
      <c r="C35" s="3">
        <v>100000</v>
      </c>
      <c r="D35" s="3">
        <v>100000</v>
      </c>
      <c r="E35" s="3">
        <v>8</v>
      </c>
      <c r="F35" s="3">
        <v>8260</v>
      </c>
      <c r="G35" s="3">
        <f t="shared" ref="G35:G66" si="1">C35-F35</f>
        <v>91740</v>
      </c>
    </row>
    <row r="36" spans="1:7" x14ac:dyDescent="0.3">
      <c r="A36" s="3">
        <v>34</v>
      </c>
      <c r="B36" s="3">
        <v>230</v>
      </c>
      <c r="C36" s="3">
        <v>100000</v>
      </c>
      <c r="D36" s="3">
        <v>100000</v>
      </c>
      <c r="E36" s="3">
        <v>6</v>
      </c>
      <c r="F36" s="3">
        <v>8490</v>
      </c>
      <c r="G36" s="3">
        <f t="shared" si="1"/>
        <v>91510</v>
      </c>
    </row>
    <row r="37" spans="1:7" x14ac:dyDescent="0.3">
      <c r="A37" s="3">
        <v>35</v>
      </c>
      <c r="B37" s="3">
        <v>190</v>
      </c>
      <c r="C37" s="3">
        <v>200000</v>
      </c>
      <c r="D37" s="3">
        <v>200000</v>
      </c>
      <c r="E37" s="3">
        <v>4</v>
      </c>
      <c r="F37" s="3">
        <v>8680</v>
      </c>
      <c r="G37" s="3">
        <f t="shared" si="1"/>
        <v>191320</v>
      </c>
    </row>
    <row r="38" spans="1:7" x14ac:dyDescent="0.3">
      <c r="A38" s="3">
        <v>36</v>
      </c>
      <c r="B38" s="3">
        <v>210</v>
      </c>
      <c r="C38" s="3">
        <v>1000000</v>
      </c>
      <c r="D38" s="3">
        <v>1000000</v>
      </c>
      <c r="E38" s="3">
        <v>5</v>
      </c>
      <c r="F38" s="3">
        <v>8890</v>
      </c>
      <c r="G38" s="3">
        <f t="shared" si="1"/>
        <v>991110</v>
      </c>
    </row>
    <row r="39" spans="1:7" x14ac:dyDescent="0.3">
      <c r="A39" s="3">
        <v>37</v>
      </c>
      <c r="B39" s="3">
        <v>250</v>
      </c>
      <c r="C39" s="3">
        <v>12000</v>
      </c>
      <c r="D39" s="3">
        <v>12000</v>
      </c>
      <c r="E39" s="3">
        <v>7</v>
      </c>
      <c r="F39" s="3">
        <v>9140</v>
      </c>
      <c r="G39" s="3">
        <f t="shared" si="1"/>
        <v>2860</v>
      </c>
    </row>
    <row r="40" spans="1:7" x14ac:dyDescent="0.3">
      <c r="A40" s="3">
        <v>38</v>
      </c>
      <c r="B40" s="3">
        <v>150</v>
      </c>
      <c r="C40" s="3">
        <v>100000</v>
      </c>
      <c r="D40" s="3">
        <v>100000</v>
      </c>
      <c r="E40" s="3">
        <v>2</v>
      </c>
      <c r="F40" s="3">
        <v>9290</v>
      </c>
      <c r="G40" s="3">
        <f t="shared" si="1"/>
        <v>90710</v>
      </c>
    </row>
    <row r="41" spans="1:7" x14ac:dyDescent="0.3">
      <c r="A41" s="3">
        <v>39</v>
      </c>
      <c r="B41" s="3">
        <v>210</v>
      </c>
      <c r="C41" s="3">
        <v>1000000</v>
      </c>
      <c r="D41" s="3">
        <v>1000000</v>
      </c>
      <c r="E41" s="3">
        <v>5</v>
      </c>
      <c r="F41" s="3">
        <v>9500</v>
      </c>
      <c r="G41" s="3">
        <f t="shared" si="1"/>
        <v>990500</v>
      </c>
    </row>
    <row r="42" spans="1:7" x14ac:dyDescent="0.3">
      <c r="A42" s="3">
        <v>40</v>
      </c>
      <c r="B42" s="3">
        <v>150</v>
      </c>
      <c r="C42" s="3">
        <v>15000</v>
      </c>
      <c r="D42" s="3">
        <v>15000</v>
      </c>
      <c r="E42" s="3">
        <v>2</v>
      </c>
      <c r="F42" s="3">
        <v>9650</v>
      </c>
      <c r="G42" s="3">
        <f t="shared" si="1"/>
        <v>5350</v>
      </c>
    </row>
    <row r="43" spans="1:7" x14ac:dyDescent="0.3">
      <c r="A43" s="3">
        <v>41</v>
      </c>
      <c r="B43" s="3">
        <v>270</v>
      </c>
      <c r="C43" s="3">
        <v>15000</v>
      </c>
      <c r="D43" s="3">
        <v>15000</v>
      </c>
      <c r="E43" s="3">
        <v>8</v>
      </c>
      <c r="F43" s="3">
        <v>9920</v>
      </c>
      <c r="G43" s="3">
        <f t="shared" si="1"/>
        <v>5080</v>
      </c>
    </row>
    <row r="44" spans="1:7" x14ac:dyDescent="0.3">
      <c r="A44" s="3">
        <v>42</v>
      </c>
      <c r="B44" s="3">
        <v>150</v>
      </c>
      <c r="C44" s="3">
        <v>14000</v>
      </c>
      <c r="D44" s="3">
        <v>14000</v>
      </c>
      <c r="E44" s="3">
        <v>2</v>
      </c>
      <c r="F44" s="3">
        <v>10070</v>
      </c>
      <c r="G44" s="3">
        <f t="shared" si="1"/>
        <v>3930</v>
      </c>
    </row>
    <row r="45" spans="1:7" x14ac:dyDescent="0.3">
      <c r="A45" s="3">
        <v>43</v>
      </c>
      <c r="B45" s="3">
        <v>150</v>
      </c>
      <c r="C45" s="3">
        <v>20000</v>
      </c>
      <c r="D45" s="3">
        <v>20000</v>
      </c>
      <c r="E45" s="3">
        <v>2</v>
      </c>
      <c r="F45" s="3">
        <v>12120</v>
      </c>
      <c r="G45" s="3">
        <f t="shared" si="1"/>
        <v>7880</v>
      </c>
    </row>
    <row r="46" spans="1:7" x14ac:dyDescent="0.3">
      <c r="A46" s="3">
        <v>44</v>
      </c>
      <c r="B46" s="3">
        <v>150</v>
      </c>
      <c r="C46" s="3">
        <v>20000</v>
      </c>
      <c r="D46" s="3">
        <v>20000</v>
      </c>
      <c r="E46" s="3">
        <v>2</v>
      </c>
      <c r="F46" s="3">
        <v>12520</v>
      </c>
      <c r="G46" s="3">
        <f t="shared" si="1"/>
        <v>7480</v>
      </c>
    </row>
    <row r="47" spans="1:7" x14ac:dyDescent="0.3">
      <c r="A47" s="3">
        <v>45</v>
      </c>
      <c r="B47" s="3">
        <v>210</v>
      </c>
      <c r="C47" s="3">
        <v>20000</v>
      </c>
      <c r="D47" s="3">
        <v>20000</v>
      </c>
      <c r="E47" s="3">
        <v>5</v>
      </c>
      <c r="F47" s="3">
        <v>12730</v>
      </c>
      <c r="G47" s="3">
        <f t="shared" si="1"/>
        <v>7270</v>
      </c>
    </row>
    <row r="48" spans="1:7" x14ac:dyDescent="0.3">
      <c r="A48" s="3">
        <v>46</v>
      </c>
      <c r="B48" s="3">
        <v>270</v>
      </c>
      <c r="C48" s="3">
        <v>50000</v>
      </c>
      <c r="D48" s="3">
        <v>50000</v>
      </c>
      <c r="E48" s="3">
        <v>8</v>
      </c>
      <c r="F48" s="3">
        <v>13000</v>
      </c>
      <c r="G48" s="3">
        <f t="shared" si="1"/>
        <v>37000</v>
      </c>
    </row>
    <row r="49" spans="1:7" x14ac:dyDescent="0.3">
      <c r="A49" s="3">
        <v>47</v>
      </c>
      <c r="B49" s="3">
        <v>270</v>
      </c>
      <c r="C49" s="3">
        <v>50000</v>
      </c>
      <c r="D49" s="3">
        <v>50000</v>
      </c>
      <c r="E49" s="3">
        <v>8</v>
      </c>
      <c r="F49" s="3">
        <v>13270</v>
      </c>
      <c r="G49" s="3">
        <f t="shared" si="1"/>
        <v>36730</v>
      </c>
    </row>
    <row r="50" spans="1:7" x14ac:dyDescent="0.3">
      <c r="A50" s="3">
        <v>48</v>
      </c>
      <c r="B50" s="3">
        <v>270</v>
      </c>
      <c r="C50" s="3">
        <v>100000</v>
      </c>
      <c r="D50" s="3">
        <v>100000</v>
      </c>
      <c r="E50" s="3">
        <v>8</v>
      </c>
      <c r="F50" s="3">
        <v>13540</v>
      </c>
      <c r="G50" s="3">
        <f t="shared" si="1"/>
        <v>86460</v>
      </c>
    </row>
    <row r="51" spans="1:7" x14ac:dyDescent="0.3">
      <c r="A51" s="3">
        <v>49</v>
      </c>
      <c r="B51" s="3">
        <v>190</v>
      </c>
      <c r="C51" s="3">
        <v>100000</v>
      </c>
      <c r="D51" s="3">
        <v>100000</v>
      </c>
      <c r="E51" s="3">
        <v>4</v>
      </c>
      <c r="F51" s="3">
        <v>13730</v>
      </c>
      <c r="G51" s="3">
        <f t="shared" si="1"/>
        <v>86270</v>
      </c>
    </row>
    <row r="52" spans="1:7" x14ac:dyDescent="0.3">
      <c r="A52" s="3">
        <v>50</v>
      </c>
      <c r="B52" s="3">
        <v>190</v>
      </c>
      <c r="C52" s="3">
        <v>100000</v>
      </c>
      <c r="D52" s="3">
        <v>100000</v>
      </c>
      <c r="E52" s="3">
        <v>4</v>
      </c>
      <c r="F52" s="3">
        <v>13920</v>
      </c>
      <c r="G52" s="3">
        <f t="shared" si="1"/>
        <v>86080</v>
      </c>
    </row>
    <row r="53" spans="1:7" x14ac:dyDescent="0.3">
      <c r="A53" s="3">
        <v>51</v>
      </c>
      <c r="B53" s="3">
        <v>210</v>
      </c>
      <c r="C53" s="3">
        <v>1000000</v>
      </c>
      <c r="D53" s="3">
        <v>1000000</v>
      </c>
      <c r="E53" s="3">
        <v>5</v>
      </c>
      <c r="F53" s="3">
        <v>14130</v>
      </c>
      <c r="G53" s="3">
        <f t="shared" si="1"/>
        <v>985870</v>
      </c>
    </row>
    <row r="54" spans="1:7" x14ac:dyDescent="0.3">
      <c r="A54" s="3">
        <v>52</v>
      </c>
      <c r="B54" s="3">
        <v>150</v>
      </c>
      <c r="C54" s="3">
        <v>25000</v>
      </c>
      <c r="D54" s="3">
        <v>25000</v>
      </c>
      <c r="E54" s="3">
        <v>2</v>
      </c>
      <c r="F54" s="3">
        <v>14430</v>
      </c>
      <c r="G54" s="3">
        <f t="shared" si="1"/>
        <v>10570</v>
      </c>
    </row>
    <row r="55" spans="1:7" x14ac:dyDescent="0.3">
      <c r="A55" s="3">
        <v>53</v>
      </c>
      <c r="B55" s="3">
        <v>190</v>
      </c>
      <c r="C55" s="3">
        <v>100000</v>
      </c>
      <c r="D55" s="3">
        <v>100000</v>
      </c>
      <c r="E55" s="3">
        <v>4</v>
      </c>
      <c r="F55" s="3">
        <v>14620</v>
      </c>
      <c r="G55" s="3">
        <f t="shared" si="1"/>
        <v>85380</v>
      </c>
    </row>
    <row r="56" spans="1:7" x14ac:dyDescent="0.3">
      <c r="A56" s="3">
        <v>54</v>
      </c>
      <c r="B56" s="3">
        <v>210</v>
      </c>
      <c r="C56" s="3">
        <v>1000000</v>
      </c>
      <c r="D56" s="3">
        <v>1000000</v>
      </c>
      <c r="E56" s="3">
        <v>5</v>
      </c>
      <c r="F56" s="3">
        <v>14830</v>
      </c>
      <c r="G56" s="3">
        <f t="shared" si="1"/>
        <v>985170</v>
      </c>
    </row>
    <row r="57" spans="1:7" x14ac:dyDescent="0.3">
      <c r="A57" s="3">
        <v>55</v>
      </c>
      <c r="B57" s="3">
        <v>150</v>
      </c>
      <c r="C57" s="3">
        <v>25000</v>
      </c>
      <c r="D57" s="3">
        <v>25000</v>
      </c>
      <c r="E57" s="3">
        <v>2</v>
      </c>
      <c r="F57" s="3">
        <v>14980</v>
      </c>
      <c r="G57" s="3">
        <f t="shared" si="1"/>
        <v>10020</v>
      </c>
    </row>
    <row r="58" spans="1:7" x14ac:dyDescent="0.3">
      <c r="A58" s="3">
        <v>56</v>
      </c>
      <c r="B58" s="3">
        <v>210</v>
      </c>
      <c r="C58" s="3">
        <v>31000</v>
      </c>
      <c r="D58" s="3">
        <v>31000</v>
      </c>
      <c r="E58" s="3">
        <v>5</v>
      </c>
      <c r="F58" s="3">
        <v>15190</v>
      </c>
      <c r="G58" s="3">
        <f t="shared" si="1"/>
        <v>15810</v>
      </c>
    </row>
    <row r="59" spans="1:7" x14ac:dyDescent="0.3">
      <c r="A59" s="3">
        <v>57</v>
      </c>
      <c r="B59" s="3">
        <v>170</v>
      </c>
      <c r="C59" s="3">
        <v>32000</v>
      </c>
      <c r="D59" s="3">
        <v>32000</v>
      </c>
      <c r="E59" s="3">
        <v>3</v>
      </c>
      <c r="F59" s="3">
        <v>15780</v>
      </c>
      <c r="G59" s="3">
        <f t="shared" si="1"/>
        <v>16220</v>
      </c>
    </row>
    <row r="60" spans="1:7" x14ac:dyDescent="0.3">
      <c r="A60" s="3">
        <v>58</v>
      </c>
      <c r="B60" s="3">
        <v>210</v>
      </c>
      <c r="C60" s="3">
        <v>33000</v>
      </c>
      <c r="D60" s="3">
        <v>33000</v>
      </c>
      <c r="E60" s="3">
        <v>5</v>
      </c>
      <c r="F60" s="3">
        <v>15990</v>
      </c>
      <c r="G60" s="3">
        <f t="shared" si="1"/>
        <v>17010</v>
      </c>
    </row>
    <row r="61" spans="1:7" x14ac:dyDescent="0.3">
      <c r="A61" s="3">
        <v>59</v>
      </c>
      <c r="B61" s="3">
        <v>190</v>
      </c>
      <c r="C61" s="3">
        <v>33000</v>
      </c>
      <c r="D61" s="3">
        <v>33000</v>
      </c>
      <c r="E61" s="3">
        <v>4</v>
      </c>
      <c r="F61" s="3">
        <v>16180</v>
      </c>
      <c r="G61" s="3">
        <f t="shared" si="1"/>
        <v>16820</v>
      </c>
    </row>
    <row r="62" spans="1:7" x14ac:dyDescent="0.3">
      <c r="A62" s="3">
        <v>60</v>
      </c>
      <c r="B62" s="3">
        <v>210</v>
      </c>
      <c r="C62" s="3">
        <v>33000</v>
      </c>
      <c r="D62" s="3">
        <v>33000</v>
      </c>
      <c r="E62" s="3">
        <v>5</v>
      </c>
      <c r="F62" s="3">
        <v>16390</v>
      </c>
      <c r="G62" s="3">
        <f t="shared" si="1"/>
        <v>16610</v>
      </c>
    </row>
    <row r="63" spans="1:7" x14ac:dyDescent="0.3">
      <c r="A63" s="3">
        <v>61</v>
      </c>
      <c r="B63" s="3">
        <v>270</v>
      </c>
      <c r="C63" s="3">
        <v>34000</v>
      </c>
      <c r="D63" s="3">
        <v>34000</v>
      </c>
      <c r="E63" s="3">
        <v>8</v>
      </c>
      <c r="F63" s="3">
        <v>16640</v>
      </c>
      <c r="G63" s="3">
        <f t="shared" si="1"/>
        <v>17360</v>
      </c>
    </row>
    <row r="64" spans="1:7" x14ac:dyDescent="0.3">
      <c r="A64" s="3">
        <v>62</v>
      </c>
      <c r="B64" s="3">
        <v>250</v>
      </c>
      <c r="C64" s="3">
        <v>34000</v>
      </c>
      <c r="D64" s="3">
        <v>34000</v>
      </c>
      <c r="E64" s="3">
        <v>7</v>
      </c>
      <c r="F64" s="3">
        <v>16850</v>
      </c>
      <c r="G64" s="3">
        <f t="shared" si="1"/>
        <v>17150</v>
      </c>
    </row>
    <row r="65" spans="1:7" x14ac:dyDescent="0.3">
      <c r="A65" s="3">
        <v>63</v>
      </c>
      <c r="B65" s="3">
        <v>210</v>
      </c>
      <c r="C65" s="3">
        <v>36000</v>
      </c>
      <c r="D65" s="3">
        <v>36000</v>
      </c>
      <c r="E65" s="3">
        <v>5</v>
      </c>
      <c r="F65" s="3">
        <v>17020</v>
      </c>
      <c r="G65" s="3">
        <f t="shared" si="1"/>
        <v>18980</v>
      </c>
    </row>
    <row r="66" spans="1:7" x14ac:dyDescent="0.3">
      <c r="A66" s="3">
        <v>64</v>
      </c>
      <c r="B66" s="3">
        <v>170</v>
      </c>
      <c r="C66" s="3">
        <v>36000</v>
      </c>
      <c r="D66" s="3">
        <v>36000</v>
      </c>
      <c r="E66" s="3">
        <v>3</v>
      </c>
      <c r="F66" s="3">
        <v>17020</v>
      </c>
      <c r="G66" s="3">
        <f t="shared" si="1"/>
        <v>18980</v>
      </c>
    </row>
  </sheetData>
  <mergeCells count="1">
    <mergeCell ref="A1:G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F7E14-08EF-4B51-8A6C-2FA3AC8D62A0}">
  <dimension ref="A1:G43"/>
  <sheetViews>
    <sheetView workbookViewId="0">
      <selection activeCell="D36" sqref="D36"/>
    </sheetView>
  </sheetViews>
  <sheetFormatPr defaultRowHeight="14" x14ac:dyDescent="0.3"/>
  <cols>
    <col min="2" max="2" width="20.1640625" customWidth="1"/>
    <col min="3" max="3" width="13.9140625" customWidth="1"/>
    <col min="4" max="4" width="15.6640625" customWidth="1"/>
    <col min="5" max="5" width="18.75" customWidth="1"/>
    <col min="6" max="6" width="10.58203125" customWidth="1"/>
  </cols>
  <sheetData>
    <row r="1" spans="1:7" x14ac:dyDescent="0.3">
      <c r="A1" s="6" t="s">
        <v>2</v>
      </c>
      <c r="B1" s="6"/>
      <c r="C1" s="6"/>
      <c r="D1" s="6"/>
      <c r="E1" s="6"/>
      <c r="F1" s="6"/>
      <c r="G1" s="6"/>
    </row>
    <row r="2" spans="1:7" x14ac:dyDescent="0.3">
      <c r="A2" s="1" t="s">
        <v>1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4</v>
      </c>
      <c r="G2" s="2" t="s">
        <v>5</v>
      </c>
    </row>
    <row r="3" spans="1:7" x14ac:dyDescent="0.3">
      <c r="A3" s="3">
        <v>1</v>
      </c>
      <c r="B3" s="3">
        <f>IF(E3&lt;=16,32*2+(28+10*E3)*0.5,32*2+(33+10*E3)*0.5)</f>
        <v>88</v>
      </c>
      <c r="C3" s="3">
        <v>2000</v>
      </c>
      <c r="D3" s="3">
        <v>2000</v>
      </c>
      <c r="E3" s="3">
        <v>2</v>
      </c>
      <c r="F3" s="3">
        <v>246</v>
      </c>
      <c r="G3" s="3">
        <f t="shared" ref="G3:G43" si="0">C3-F3</f>
        <v>1754</v>
      </c>
    </row>
    <row r="4" spans="1:7" x14ac:dyDescent="0.3">
      <c r="A4" s="3">
        <v>2</v>
      </c>
      <c r="B4" s="3">
        <f t="shared" ref="B4:B43" si="1">IF(E4&lt;=16,32*2+(28+10*E4)*0.5,32*2+(33+10*E4)*0.5)</f>
        <v>83</v>
      </c>
      <c r="C4" s="3">
        <v>2000</v>
      </c>
      <c r="D4" s="3">
        <v>2000</v>
      </c>
      <c r="E4" s="3">
        <v>1</v>
      </c>
      <c r="F4" s="3">
        <v>329</v>
      </c>
      <c r="G4" s="3">
        <f t="shared" si="0"/>
        <v>1671</v>
      </c>
    </row>
    <row r="5" spans="1:7" x14ac:dyDescent="0.3">
      <c r="A5" s="3">
        <v>3</v>
      </c>
      <c r="B5" s="3">
        <f t="shared" si="1"/>
        <v>93</v>
      </c>
      <c r="C5" s="3">
        <v>2000</v>
      </c>
      <c r="D5" s="3">
        <v>2000</v>
      </c>
      <c r="E5" s="3">
        <v>3</v>
      </c>
      <c r="F5" s="3">
        <v>422</v>
      </c>
      <c r="G5" s="3">
        <f t="shared" si="0"/>
        <v>1578</v>
      </c>
    </row>
    <row r="6" spans="1:7" x14ac:dyDescent="0.3">
      <c r="A6" s="3">
        <v>4</v>
      </c>
      <c r="B6" s="3">
        <f t="shared" si="1"/>
        <v>108</v>
      </c>
      <c r="C6" s="3">
        <v>2000</v>
      </c>
      <c r="D6" s="3">
        <v>2000</v>
      </c>
      <c r="E6" s="3">
        <v>6</v>
      </c>
      <c r="F6" s="3">
        <v>530</v>
      </c>
      <c r="G6" s="3">
        <f t="shared" si="0"/>
        <v>1470</v>
      </c>
    </row>
    <row r="7" spans="1:7" x14ac:dyDescent="0.3">
      <c r="A7" s="3">
        <v>5</v>
      </c>
      <c r="B7" s="3">
        <f t="shared" si="1"/>
        <v>108</v>
      </c>
      <c r="C7" s="3">
        <v>2000</v>
      </c>
      <c r="D7" s="3">
        <v>2000</v>
      </c>
      <c r="E7" s="3">
        <v>6</v>
      </c>
      <c r="F7" s="3">
        <v>638</v>
      </c>
      <c r="G7" s="3">
        <f t="shared" si="0"/>
        <v>1362</v>
      </c>
    </row>
    <row r="8" spans="1:7" x14ac:dyDescent="0.3">
      <c r="A8" s="3">
        <v>6</v>
      </c>
      <c r="B8" s="3">
        <f t="shared" si="1"/>
        <v>118</v>
      </c>
      <c r="C8" s="3">
        <v>3000</v>
      </c>
      <c r="D8" s="3">
        <v>3000</v>
      </c>
      <c r="E8" s="3">
        <v>8</v>
      </c>
      <c r="F8" s="3">
        <v>756</v>
      </c>
      <c r="G8" s="3">
        <f t="shared" si="0"/>
        <v>2244</v>
      </c>
    </row>
    <row r="9" spans="1:7" x14ac:dyDescent="0.3">
      <c r="A9" s="3">
        <v>7</v>
      </c>
      <c r="B9" s="3">
        <f t="shared" si="1"/>
        <v>113</v>
      </c>
      <c r="C9" s="3">
        <v>3000</v>
      </c>
      <c r="D9" s="3">
        <v>3000</v>
      </c>
      <c r="E9" s="3">
        <v>7</v>
      </c>
      <c r="F9" s="3">
        <v>869</v>
      </c>
      <c r="G9" s="3">
        <f t="shared" si="0"/>
        <v>2131</v>
      </c>
    </row>
    <row r="10" spans="1:7" x14ac:dyDescent="0.3">
      <c r="A10" s="3">
        <v>8</v>
      </c>
      <c r="B10" s="3">
        <f t="shared" si="1"/>
        <v>93</v>
      </c>
      <c r="C10" s="3">
        <v>3000</v>
      </c>
      <c r="D10" s="3">
        <v>3000</v>
      </c>
      <c r="E10" s="3">
        <v>3</v>
      </c>
      <c r="F10" s="3">
        <v>962</v>
      </c>
      <c r="G10" s="3">
        <f t="shared" si="0"/>
        <v>2038</v>
      </c>
    </row>
    <row r="11" spans="1:7" x14ac:dyDescent="0.3">
      <c r="A11" s="3">
        <v>9</v>
      </c>
      <c r="B11" s="3">
        <f t="shared" si="1"/>
        <v>118</v>
      </c>
      <c r="C11" s="3">
        <v>3000</v>
      </c>
      <c r="D11" s="3">
        <v>3000</v>
      </c>
      <c r="E11" s="3">
        <v>8</v>
      </c>
      <c r="F11" s="3">
        <v>1080</v>
      </c>
      <c r="G11" s="3">
        <f t="shared" si="0"/>
        <v>1920</v>
      </c>
    </row>
    <row r="12" spans="1:7" x14ac:dyDescent="0.3">
      <c r="A12" s="3">
        <v>10</v>
      </c>
      <c r="B12" s="3">
        <f t="shared" si="1"/>
        <v>88</v>
      </c>
      <c r="C12" s="3">
        <v>5000</v>
      </c>
      <c r="D12" s="3">
        <v>5000</v>
      </c>
      <c r="E12" s="3">
        <v>2</v>
      </c>
      <c r="F12" s="3">
        <v>1168</v>
      </c>
      <c r="G12" s="3">
        <f t="shared" si="0"/>
        <v>3832</v>
      </c>
    </row>
    <row r="13" spans="1:7" x14ac:dyDescent="0.3">
      <c r="A13" s="3">
        <v>11</v>
      </c>
      <c r="B13" s="3">
        <f t="shared" si="1"/>
        <v>103</v>
      </c>
      <c r="C13" s="3">
        <v>5000</v>
      </c>
      <c r="D13" s="3">
        <v>5000</v>
      </c>
      <c r="E13" s="3">
        <v>5</v>
      </c>
      <c r="F13" s="3">
        <v>1271</v>
      </c>
      <c r="G13" s="3">
        <f t="shared" si="0"/>
        <v>3729</v>
      </c>
    </row>
    <row r="14" spans="1:7" x14ac:dyDescent="0.3">
      <c r="A14" s="3">
        <v>12</v>
      </c>
      <c r="B14" s="3">
        <f t="shared" si="1"/>
        <v>103</v>
      </c>
      <c r="C14" s="3">
        <v>25000</v>
      </c>
      <c r="D14" s="3">
        <v>25000</v>
      </c>
      <c r="E14" s="3">
        <v>5</v>
      </c>
      <c r="F14" s="3">
        <v>1374</v>
      </c>
      <c r="G14" s="3">
        <f t="shared" si="0"/>
        <v>23626</v>
      </c>
    </row>
    <row r="15" spans="1:7" x14ac:dyDescent="0.3">
      <c r="A15" s="3">
        <v>13</v>
      </c>
      <c r="B15" s="3">
        <f t="shared" si="1"/>
        <v>98</v>
      </c>
      <c r="C15" s="3">
        <v>25000</v>
      </c>
      <c r="D15" s="3">
        <v>25000</v>
      </c>
      <c r="E15" s="3">
        <v>4</v>
      </c>
      <c r="F15" s="3">
        <v>1472</v>
      </c>
      <c r="G15" s="3">
        <f t="shared" si="0"/>
        <v>23528</v>
      </c>
    </row>
    <row r="16" spans="1:7" x14ac:dyDescent="0.3">
      <c r="A16" s="3">
        <v>14</v>
      </c>
      <c r="B16" s="3">
        <f t="shared" si="1"/>
        <v>93</v>
      </c>
      <c r="C16" s="3">
        <v>25000</v>
      </c>
      <c r="D16" s="3">
        <v>25000</v>
      </c>
      <c r="E16" s="3">
        <v>3</v>
      </c>
      <c r="F16" s="3">
        <v>1565</v>
      </c>
      <c r="G16" s="3">
        <f t="shared" si="0"/>
        <v>23435</v>
      </c>
    </row>
    <row r="17" spans="1:7" x14ac:dyDescent="0.3">
      <c r="A17" s="3">
        <v>15</v>
      </c>
      <c r="B17" s="3">
        <f t="shared" si="1"/>
        <v>118</v>
      </c>
      <c r="C17" s="3">
        <v>1000000</v>
      </c>
      <c r="D17" s="3">
        <v>1000000</v>
      </c>
      <c r="E17" s="3">
        <v>8</v>
      </c>
      <c r="F17" s="3">
        <v>1683</v>
      </c>
      <c r="G17" s="3">
        <f t="shared" si="0"/>
        <v>998317</v>
      </c>
    </row>
    <row r="18" spans="1:7" x14ac:dyDescent="0.3">
      <c r="A18" s="3">
        <v>16</v>
      </c>
      <c r="B18" s="3">
        <f t="shared" si="1"/>
        <v>83</v>
      </c>
      <c r="C18" s="3">
        <v>100000</v>
      </c>
      <c r="D18" s="3">
        <v>100000</v>
      </c>
      <c r="E18" s="3">
        <v>1</v>
      </c>
      <c r="F18" s="3">
        <v>1766</v>
      </c>
      <c r="G18" s="3">
        <f t="shared" si="0"/>
        <v>98234</v>
      </c>
    </row>
    <row r="19" spans="1:7" x14ac:dyDescent="0.3">
      <c r="A19" s="3">
        <v>17</v>
      </c>
      <c r="B19" s="3">
        <f t="shared" si="1"/>
        <v>103</v>
      </c>
      <c r="C19" s="3">
        <v>100000</v>
      </c>
      <c r="D19" s="3">
        <v>100000</v>
      </c>
      <c r="E19" s="3">
        <v>5</v>
      </c>
      <c r="F19" s="3">
        <v>1869</v>
      </c>
      <c r="G19" s="3">
        <f t="shared" si="0"/>
        <v>98131</v>
      </c>
    </row>
    <row r="20" spans="1:7" x14ac:dyDescent="0.3">
      <c r="A20" s="3">
        <v>18</v>
      </c>
      <c r="B20" s="3">
        <f t="shared" si="1"/>
        <v>103</v>
      </c>
      <c r="C20" s="3">
        <v>100000</v>
      </c>
      <c r="D20" s="3">
        <v>100000</v>
      </c>
      <c r="E20" s="3">
        <v>5</v>
      </c>
      <c r="F20" s="3">
        <v>1972</v>
      </c>
      <c r="G20" s="3">
        <f t="shared" si="0"/>
        <v>98028</v>
      </c>
    </row>
    <row r="21" spans="1:7" x14ac:dyDescent="0.3">
      <c r="A21" s="3">
        <v>19</v>
      </c>
      <c r="B21" s="3">
        <f t="shared" si="1"/>
        <v>108</v>
      </c>
      <c r="C21" s="3">
        <v>100000</v>
      </c>
      <c r="D21" s="3">
        <v>100000</v>
      </c>
      <c r="E21" s="3">
        <v>6</v>
      </c>
      <c r="F21" s="3">
        <v>2080</v>
      </c>
      <c r="G21" s="3">
        <f t="shared" si="0"/>
        <v>97920</v>
      </c>
    </row>
    <row r="22" spans="1:7" x14ac:dyDescent="0.3">
      <c r="A22" s="3">
        <v>20</v>
      </c>
      <c r="B22" s="3">
        <f t="shared" si="1"/>
        <v>158</v>
      </c>
      <c r="C22" s="3">
        <v>100000</v>
      </c>
      <c r="D22" s="3">
        <v>100000</v>
      </c>
      <c r="E22" s="3">
        <v>16</v>
      </c>
      <c r="F22" s="3">
        <v>2718</v>
      </c>
      <c r="G22" s="3">
        <f t="shared" si="0"/>
        <v>97282</v>
      </c>
    </row>
    <row r="23" spans="1:7" x14ac:dyDescent="0.3">
      <c r="A23" s="3">
        <v>21</v>
      </c>
      <c r="B23" s="3">
        <f t="shared" si="1"/>
        <v>83</v>
      </c>
      <c r="C23" s="3">
        <v>100000</v>
      </c>
      <c r="D23" s="3">
        <v>100000</v>
      </c>
      <c r="E23" s="3">
        <v>1</v>
      </c>
      <c r="F23" s="3">
        <v>2801</v>
      </c>
      <c r="G23" s="3">
        <f t="shared" si="0"/>
        <v>97199</v>
      </c>
    </row>
    <row r="24" spans="1:7" x14ac:dyDescent="0.3">
      <c r="A24" s="3">
        <v>22</v>
      </c>
      <c r="B24" s="3">
        <f t="shared" si="1"/>
        <v>118</v>
      </c>
      <c r="C24" s="3">
        <v>200000</v>
      </c>
      <c r="D24" s="3">
        <v>200000</v>
      </c>
      <c r="E24" s="3">
        <v>8</v>
      </c>
      <c r="F24" s="3">
        <v>2919</v>
      </c>
      <c r="G24" s="3">
        <f t="shared" si="0"/>
        <v>197081</v>
      </c>
    </row>
    <row r="25" spans="1:7" x14ac:dyDescent="0.3">
      <c r="A25" s="3">
        <v>23</v>
      </c>
      <c r="B25" s="3">
        <f t="shared" si="1"/>
        <v>118</v>
      </c>
      <c r="C25" s="3">
        <v>1600000</v>
      </c>
      <c r="D25" s="3">
        <v>1600000</v>
      </c>
      <c r="E25" s="3">
        <v>8</v>
      </c>
      <c r="F25" s="3">
        <v>3037</v>
      </c>
      <c r="G25" s="3">
        <f t="shared" si="0"/>
        <v>1596963</v>
      </c>
    </row>
    <row r="26" spans="1:7" x14ac:dyDescent="0.3">
      <c r="A26" s="3">
        <v>24</v>
      </c>
      <c r="B26" s="3">
        <f t="shared" si="1"/>
        <v>118</v>
      </c>
      <c r="C26" s="3">
        <v>200000</v>
      </c>
      <c r="D26" s="3">
        <v>200000</v>
      </c>
      <c r="E26" s="3">
        <v>8</v>
      </c>
      <c r="F26" s="3">
        <v>3597</v>
      </c>
      <c r="G26" s="3">
        <f t="shared" si="0"/>
        <v>196403</v>
      </c>
    </row>
    <row r="27" spans="1:7" x14ac:dyDescent="0.3">
      <c r="A27" s="3">
        <v>25</v>
      </c>
      <c r="B27" s="3">
        <f t="shared" si="1"/>
        <v>118</v>
      </c>
      <c r="C27" s="3">
        <v>250000</v>
      </c>
      <c r="D27" s="3">
        <v>250000</v>
      </c>
      <c r="E27" s="3">
        <v>8</v>
      </c>
      <c r="F27" s="3">
        <v>3715</v>
      </c>
      <c r="G27" s="3">
        <f t="shared" si="0"/>
        <v>246285</v>
      </c>
    </row>
    <row r="28" spans="1:7" x14ac:dyDescent="0.3">
      <c r="A28" s="3">
        <v>26</v>
      </c>
      <c r="B28" s="3">
        <f t="shared" si="1"/>
        <v>83</v>
      </c>
      <c r="C28" s="3">
        <v>250000</v>
      </c>
      <c r="D28" s="3">
        <v>250000</v>
      </c>
      <c r="E28" s="3">
        <v>1</v>
      </c>
      <c r="F28" s="3">
        <v>3798</v>
      </c>
      <c r="G28" s="3">
        <f t="shared" si="0"/>
        <v>246202</v>
      </c>
    </row>
    <row r="29" spans="1:7" x14ac:dyDescent="0.3">
      <c r="A29" s="3">
        <v>27</v>
      </c>
      <c r="B29" s="3">
        <f t="shared" si="1"/>
        <v>88</v>
      </c>
      <c r="C29" s="3">
        <v>1000000</v>
      </c>
      <c r="D29" s="3">
        <v>1000000</v>
      </c>
      <c r="E29" s="3">
        <v>2</v>
      </c>
      <c r="F29" s="3">
        <v>3886</v>
      </c>
      <c r="G29" s="3">
        <f t="shared" si="0"/>
        <v>996114</v>
      </c>
    </row>
    <row r="30" spans="1:7" x14ac:dyDescent="0.3">
      <c r="A30" s="3">
        <v>28</v>
      </c>
      <c r="B30" s="3">
        <f t="shared" si="1"/>
        <v>118</v>
      </c>
      <c r="C30" s="3">
        <v>250000</v>
      </c>
      <c r="D30" s="3">
        <v>250000</v>
      </c>
      <c r="E30" s="3">
        <v>8</v>
      </c>
      <c r="F30" s="3">
        <v>4004</v>
      </c>
      <c r="G30" s="3">
        <f t="shared" si="0"/>
        <v>245996</v>
      </c>
    </row>
    <row r="31" spans="1:7" x14ac:dyDescent="0.3">
      <c r="A31" s="3">
        <v>29</v>
      </c>
      <c r="B31" s="3">
        <f t="shared" si="1"/>
        <v>118</v>
      </c>
      <c r="C31" s="3">
        <v>1000000</v>
      </c>
      <c r="D31" s="3">
        <v>1000000</v>
      </c>
      <c r="E31" s="3">
        <v>8</v>
      </c>
      <c r="F31" s="3">
        <v>4602</v>
      </c>
      <c r="G31" s="3">
        <f t="shared" si="0"/>
        <v>995398</v>
      </c>
    </row>
    <row r="32" spans="1:7" x14ac:dyDescent="0.3">
      <c r="A32" s="3">
        <v>30</v>
      </c>
      <c r="B32" s="3">
        <f t="shared" si="1"/>
        <v>118</v>
      </c>
      <c r="C32" s="3">
        <v>1000000</v>
      </c>
      <c r="D32" s="3">
        <v>1000000</v>
      </c>
      <c r="E32" s="3">
        <v>8</v>
      </c>
      <c r="F32" s="3">
        <v>4720</v>
      </c>
      <c r="G32" s="3">
        <f t="shared" si="0"/>
        <v>995280</v>
      </c>
    </row>
    <row r="33" spans="1:7" x14ac:dyDescent="0.3">
      <c r="A33" s="3">
        <v>31</v>
      </c>
      <c r="B33" s="3">
        <f t="shared" si="1"/>
        <v>118</v>
      </c>
      <c r="C33" s="3">
        <v>1000000</v>
      </c>
      <c r="D33" s="3">
        <v>1000000</v>
      </c>
      <c r="E33" s="3">
        <v>8</v>
      </c>
      <c r="F33" s="3">
        <v>4838</v>
      </c>
      <c r="G33" s="3">
        <f t="shared" si="0"/>
        <v>995162</v>
      </c>
    </row>
    <row r="34" spans="1:7" x14ac:dyDescent="0.3">
      <c r="A34" s="3">
        <v>32</v>
      </c>
      <c r="B34" s="3">
        <f t="shared" si="1"/>
        <v>118</v>
      </c>
      <c r="C34" s="3">
        <v>1000000</v>
      </c>
      <c r="D34" s="3">
        <v>1000000</v>
      </c>
      <c r="E34" s="3">
        <v>8</v>
      </c>
      <c r="F34" s="3">
        <v>4956</v>
      </c>
      <c r="G34" s="3">
        <f t="shared" si="0"/>
        <v>995044</v>
      </c>
    </row>
    <row r="35" spans="1:7" x14ac:dyDescent="0.3">
      <c r="A35" s="3">
        <v>33</v>
      </c>
      <c r="B35" s="3">
        <f t="shared" si="1"/>
        <v>88</v>
      </c>
      <c r="C35" s="3">
        <v>1000000</v>
      </c>
      <c r="D35" s="3">
        <v>1000000</v>
      </c>
      <c r="E35" s="3">
        <v>2</v>
      </c>
      <c r="F35" s="3">
        <v>5044</v>
      </c>
      <c r="G35" s="3">
        <f t="shared" si="0"/>
        <v>994956</v>
      </c>
    </row>
    <row r="36" spans="1:7" x14ac:dyDescent="0.3">
      <c r="A36" s="3">
        <v>34</v>
      </c>
      <c r="B36" s="3">
        <f t="shared" si="1"/>
        <v>158</v>
      </c>
      <c r="C36" s="3">
        <v>1000000</v>
      </c>
      <c r="D36" s="3">
        <v>1000000</v>
      </c>
      <c r="E36" s="3">
        <v>16</v>
      </c>
      <c r="F36" s="3">
        <v>5353</v>
      </c>
      <c r="G36" s="3">
        <f t="shared" si="0"/>
        <v>994647</v>
      </c>
    </row>
    <row r="37" spans="1:7" x14ac:dyDescent="0.3">
      <c r="A37" s="3">
        <v>35</v>
      </c>
      <c r="B37" s="3">
        <f t="shared" si="1"/>
        <v>93</v>
      </c>
      <c r="C37" s="3">
        <v>1000000</v>
      </c>
      <c r="D37" s="3">
        <v>1000000</v>
      </c>
      <c r="E37" s="3">
        <v>3</v>
      </c>
      <c r="F37" s="3">
        <v>5446</v>
      </c>
      <c r="G37" s="3">
        <f t="shared" si="0"/>
        <v>994554</v>
      </c>
    </row>
    <row r="38" spans="1:7" x14ac:dyDescent="0.3">
      <c r="A38" s="3">
        <v>36</v>
      </c>
      <c r="B38" s="3">
        <f t="shared" si="1"/>
        <v>88</v>
      </c>
      <c r="C38" s="3">
        <v>1000000</v>
      </c>
      <c r="D38" s="3">
        <v>1000000</v>
      </c>
      <c r="E38" s="3">
        <v>2</v>
      </c>
      <c r="F38" s="3">
        <v>5534</v>
      </c>
      <c r="G38" s="3">
        <f t="shared" si="0"/>
        <v>994466</v>
      </c>
    </row>
    <row r="39" spans="1:7" x14ac:dyDescent="0.3">
      <c r="A39" s="3">
        <v>37</v>
      </c>
      <c r="B39" s="3">
        <f t="shared" si="1"/>
        <v>98</v>
      </c>
      <c r="C39" s="3">
        <v>1000000</v>
      </c>
      <c r="D39" s="3">
        <v>1000000</v>
      </c>
      <c r="E39" s="3">
        <v>4</v>
      </c>
      <c r="F39" s="3">
        <v>5632</v>
      </c>
      <c r="G39" s="3">
        <f t="shared" si="0"/>
        <v>994368</v>
      </c>
    </row>
    <row r="40" spans="1:7" x14ac:dyDescent="0.3">
      <c r="A40" s="3">
        <v>38</v>
      </c>
      <c r="B40" s="3">
        <f t="shared" si="1"/>
        <v>118</v>
      </c>
      <c r="C40" s="3">
        <v>1000000</v>
      </c>
      <c r="D40" s="3">
        <v>1000000</v>
      </c>
      <c r="E40" s="3">
        <v>8</v>
      </c>
      <c r="F40" s="3">
        <v>5750</v>
      </c>
      <c r="G40" s="3">
        <f t="shared" si="0"/>
        <v>994250</v>
      </c>
    </row>
    <row r="41" spans="1:7" x14ac:dyDescent="0.3">
      <c r="A41" s="3">
        <v>39</v>
      </c>
      <c r="B41" s="3">
        <f t="shared" si="1"/>
        <v>118</v>
      </c>
      <c r="C41" s="3">
        <v>160000</v>
      </c>
      <c r="D41" s="3">
        <v>160000</v>
      </c>
      <c r="E41" s="3">
        <v>8</v>
      </c>
      <c r="F41" s="3">
        <v>5868</v>
      </c>
      <c r="G41" s="3">
        <f t="shared" si="0"/>
        <v>154132</v>
      </c>
    </row>
    <row r="42" spans="1:7" x14ac:dyDescent="0.3">
      <c r="A42" s="3">
        <v>40</v>
      </c>
      <c r="B42" s="3">
        <f t="shared" si="1"/>
        <v>118</v>
      </c>
      <c r="C42" s="3">
        <v>160000</v>
      </c>
      <c r="D42" s="3">
        <v>160000</v>
      </c>
      <c r="E42" s="3">
        <v>8</v>
      </c>
      <c r="F42" s="3">
        <v>5986</v>
      </c>
      <c r="G42" s="3">
        <f t="shared" si="0"/>
        <v>154014</v>
      </c>
    </row>
    <row r="43" spans="1:7" x14ac:dyDescent="0.3">
      <c r="A43" s="3">
        <v>41</v>
      </c>
      <c r="B43" s="3">
        <f t="shared" si="1"/>
        <v>118</v>
      </c>
      <c r="C43" s="3">
        <v>200000</v>
      </c>
      <c r="D43" s="3">
        <v>200000</v>
      </c>
      <c r="E43" s="3">
        <v>8</v>
      </c>
      <c r="F43" s="3">
        <v>5986</v>
      </c>
      <c r="G43" s="3">
        <f t="shared" si="0"/>
        <v>194014</v>
      </c>
    </row>
  </sheetData>
  <mergeCells count="1">
    <mergeCell ref="A1:G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C5000-96B2-470E-9454-3D0DC4D32555}">
  <dimension ref="A1:G108"/>
  <sheetViews>
    <sheetView topLeftCell="A11" zoomScaleNormal="100" workbookViewId="0">
      <selection activeCell="E14" sqref="E14"/>
    </sheetView>
  </sheetViews>
  <sheetFormatPr defaultRowHeight="14" x14ac:dyDescent="0.3"/>
  <cols>
    <col min="1" max="1" width="8.25" customWidth="1"/>
    <col min="2" max="2" width="21.1640625" customWidth="1"/>
    <col min="3" max="3" width="9.83203125" customWidth="1"/>
    <col min="4" max="4" width="12.9140625" customWidth="1"/>
    <col min="5" max="5" width="19.9140625" customWidth="1"/>
  </cols>
  <sheetData>
    <row r="1" spans="1:7" x14ac:dyDescent="0.3">
      <c r="A1" s="6" t="s">
        <v>3</v>
      </c>
      <c r="B1" s="6"/>
      <c r="C1" s="6"/>
      <c r="D1" s="6"/>
      <c r="E1" s="6"/>
      <c r="F1" s="6"/>
      <c r="G1" s="6"/>
    </row>
    <row r="2" spans="1:7" x14ac:dyDescent="0.3">
      <c r="A2" s="1" t="s">
        <v>1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4</v>
      </c>
      <c r="G2" s="2" t="s">
        <v>5</v>
      </c>
    </row>
    <row r="3" spans="1:7" x14ac:dyDescent="0.3">
      <c r="A3" s="3">
        <v>1</v>
      </c>
      <c r="B3" s="3">
        <f>IF(E3&lt;=16,32*2+(28+10*E3)*0.5,32*2+(33+10*E3)*0.5)</f>
        <v>88</v>
      </c>
      <c r="C3" s="3">
        <v>2000</v>
      </c>
      <c r="D3" s="3">
        <v>2000</v>
      </c>
      <c r="E3" s="3">
        <v>2</v>
      </c>
      <c r="F3" s="3">
        <v>268</v>
      </c>
      <c r="G3" s="3">
        <f t="shared" ref="G3:G34" si="0">C3-F3</f>
        <v>1732</v>
      </c>
    </row>
    <row r="4" spans="1:7" x14ac:dyDescent="0.3">
      <c r="A4" s="3">
        <v>2</v>
      </c>
      <c r="B4" s="3">
        <f>IF(E4&lt;=16,32*2+(28+10*E4)*0.5,32*2+(33+10*E4)*0.5)</f>
        <v>83</v>
      </c>
      <c r="C4" s="3">
        <v>2000</v>
      </c>
      <c r="D4" s="3">
        <v>2000</v>
      </c>
      <c r="E4" s="3">
        <v>1</v>
      </c>
      <c r="F4" s="3">
        <v>351</v>
      </c>
      <c r="G4" s="3">
        <f t="shared" si="0"/>
        <v>1649</v>
      </c>
    </row>
    <row r="5" spans="1:7" x14ac:dyDescent="0.3">
      <c r="A5" s="3">
        <v>3</v>
      </c>
      <c r="B5" s="3">
        <f>IF(E5&lt;=16,32*2+(28+10*E5)*0.5,32*2+(33+10*E5)*0.5)</f>
        <v>83</v>
      </c>
      <c r="C5" s="3">
        <v>2000</v>
      </c>
      <c r="D5" s="3">
        <v>2000</v>
      </c>
      <c r="E5" s="3">
        <v>1</v>
      </c>
      <c r="F5" s="3">
        <v>434</v>
      </c>
      <c r="G5" s="3">
        <f t="shared" si="0"/>
        <v>1566</v>
      </c>
    </row>
    <row r="6" spans="1:7" x14ac:dyDescent="0.3">
      <c r="A6" s="3">
        <v>4</v>
      </c>
      <c r="B6" s="3">
        <f t="shared" ref="B6:B69" si="1">IF(E6&lt;=16,32*2+(28+10*E6)*0.5,32*2+(33+10*E6)*0.5)</f>
        <v>98</v>
      </c>
      <c r="C6" s="3">
        <v>5000</v>
      </c>
      <c r="D6" s="3">
        <v>5000</v>
      </c>
      <c r="E6" s="3">
        <v>4</v>
      </c>
      <c r="F6" s="3">
        <v>532</v>
      </c>
      <c r="G6" s="3">
        <f t="shared" si="0"/>
        <v>4468</v>
      </c>
    </row>
    <row r="7" spans="1:7" x14ac:dyDescent="0.3">
      <c r="A7" s="3">
        <v>5</v>
      </c>
      <c r="B7" s="3">
        <f t="shared" si="1"/>
        <v>98</v>
      </c>
      <c r="C7" s="3">
        <v>5000</v>
      </c>
      <c r="D7" s="3">
        <v>5000</v>
      </c>
      <c r="E7" s="3">
        <v>4</v>
      </c>
      <c r="F7" s="3">
        <v>630</v>
      </c>
      <c r="G7" s="3">
        <f t="shared" si="0"/>
        <v>4370</v>
      </c>
    </row>
    <row r="8" spans="1:7" x14ac:dyDescent="0.3">
      <c r="A8" s="3">
        <v>6</v>
      </c>
      <c r="B8" s="3">
        <f t="shared" si="1"/>
        <v>98</v>
      </c>
      <c r="C8" s="3">
        <v>5000</v>
      </c>
      <c r="D8" s="3">
        <v>5000</v>
      </c>
      <c r="E8" s="3">
        <v>4</v>
      </c>
      <c r="F8" s="3">
        <v>728</v>
      </c>
      <c r="G8" s="3">
        <f t="shared" si="0"/>
        <v>4272</v>
      </c>
    </row>
    <row r="9" spans="1:7" x14ac:dyDescent="0.3">
      <c r="A9" s="3">
        <v>7</v>
      </c>
      <c r="B9" s="3">
        <f t="shared" si="1"/>
        <v>118</v>
      </c>
      <c r="C9" s="3">
        <v>10000</v>
      </c>
      <c r="D9" s="3">
        <v>10000</v>
      </c>
      <c r="E9" s="3">
        <v>8</v>
      </c>
      <c r="F9" s="3">
        <v>846</v>
      </c>
      <c r="G9" s="3">
        <f t="shared" si="0"/>
        <v>9154</v>
      </c>
    </row>
    <row r="10" spans="1:7" x14ac:dyDescent="0.3">
      <c r="A10" s="3">
        <v>8</v>
      </c>
      <c r="B10" s="3">
        <f t="shared" si="1"/>
        <v>138</v>
      </c>
      <c r="C10" s="3">
        <v>10000</v>
      </c>
      <c r="D10" s="3">
        <v>10000</v>
      </c>
      <c r="E10" s="3">
        <v>12</v>
      </c>
      <c r="F10" s="3">
        <v>984</v>
      </c>
      <c r="G10" s="3">
        <f t="shared" si="0"/>
        <v>9016</v>
      </c>
    </row>
    <row r="11" spans="1:7" x14ac:dyDescent="0.3">
      <c r="A11" s="3">
        <v>9</v>
      </c>
      <c r="B11" s="3">
        <f t="shared" si="1"/>
        <v>108</v>
      </c>
      <c r="C11" s="3">
        <v>10000</v>
      </c>
      <c r="D11" s="3">
        <v>10000</v>
      </c>
      <c r="E11" s="3">
        <v>6</v>
      </c>
      <c r="F11" s="3">
        <v>1092</v>
      </c>
      <c r="G11" s="3">
        <f t="shared" si="0"/>
        <v>8908</v>
      </c>
    </row>
    <row r="12" spans="1:7" x14ac:dyDescent="0.3">
      <c r="A12" s="3">
        <v>10</v>
      </c>
      <c r="B12" s="3">
        <f t="shared" si="1"/>
        <v>138</v>
      </c>
      <c r="C12" s="3">
        <v>10000</v>
      </c>
      <c r="D12" s="3">
        <v>10000</v>
      </c>
      <c r="E12" s="3">
        <v>12</v>
      </c>
      <c r="F12" s="3">
        <v>1230</v>
      </c>
      <c r="G12" s="3">
        <f t="shared" si="0"/>
        <v>8770</v>
      </c>
    </row>
    <row r="13" spans="1:7" x14ac:dyDescent="0.3">
      <c r="A13" s="3">
        <v>11</v>
      </c>
      <c r="B13" s="3">
        <f t="shared" si="1"/>
        <v>113</v>
      </c>
      <c r="C13" s="3">
        <v>10000</v>
      </c>
      <c r="D13" s="3">
        <v>10000</v>
      </c>
      <c r="E13" s="3">
        <v>7</v>
      </c>
      <c r="F13" s="3">
        <v>1343</v>
      </c>
      <c r="G13" s="3">
        <f t="shared" si="0"/>
        <v>8657</v>
      </c>
    </row>
    <row r="14" spans="1:7" x14ac:dyDescent="0.3">
      <c r="A14" s="3">
        <v>12</v>
      </c>
      <c r="B14" s="3">
        <f t="shared" si="1"/>
        <v>88</v>
      </c>
      <c r="C14" s="3">
        <v>10000</v>
      </c>
      <c r="D14" s="3">
        <v>10000</v>
      </c>
      <c r="E14" s="3">
        <v>2</v>
      </c>
      <c r="F14" s="3">
        <v>1431</v>
      </c>
      <c r="G14" s="3">
        <f t="shared" si="0"/>
        <v>8569</v>
      </c>
    </row>
    <row r="15" spans="1:7" x14ac:dyDescent="0.3">
      <c r="A15" s="3">
        <v>13</v>
      </c>
      <c r="B15" s="3">
        <f t="shared" si="1"/>
        <v>180.5</v>
      </c>
      <c r="C15" s="3">
        <v>12000</v>
      </c>
      <c r="D15" s="3">
        <v>12000</v>
      </c>
      <c r="E15" s="3">
        <v>20</v>
      </c>
      <c r="F15" s="3">
        <v>1611</v>
      </c>
      <c r="G15" s="3">
        <f t="shared" si="0"/>
        <v>10389</v>
      </c>
    </row>
    <row r="16" spans="1:7" x14ac:dyDescent="0.3">
      <c r="A16" s="3">
        <v>14</v>
      </c>
      <c r="B16" s="3">
        <f t="shared" si="1"/>
        <v>108</v>
      </c>
      <c r="C16" s="3">
        <v>12000</v>
      </c>
      <c r="D16" s="3">
        <v>12000</v>
      </c>
      <c r="E16" s="3">
        <v>6</v>
      </c>
      <c r="F16" s="3">
        <v>1719</v>
      </c>
      <c r="G16" s="3">
        <f t="shared" si="0"/>
        <v>10281</v>
      </c>
    </row>
    <row r="17" spans="1:7" x14ac:dyDescent="0.3">
      <c r="A17" s="3">
        <v>15</v>
      </c>
      <c r="B17" s="3">
        <f t="shared" si="1"/>
        <v>118</v>
      </c>
      <c r="C17" s="3">
        <v>12000</v>
      </c>
      <c r="D17" s="3">
        <v>12000</v>
      </c>
      <c r="E17" s="3">
        <v>8</v>
      </c>
      <c r="F17" s="3">
        <v>1837</v>
      </c>
      <c r="G17" s="3">
        <f t="shared" si="0"/>
        <v>10163</v>
      </c>
    </row>
    <row r="18" spans="1:7" x14ac:dyDescent="0.3">
      <c r="A18" s="3">
        <v>16</v>
      </c>
      <c r="B18" s="3">
        <f t="shared" si="1"/>
        <v>118</v>
      </c>
      <c r="C18" s="3">
        <v>12000</v>
      </c>
      <c r="D18" s="3">
        <v>12000</v>
      </c>
      <c r="E18" s="3">
        <v>8</v>
      </c>
      <c r="F18" s="3">
        <v>1955</v>
      </c>
      <c r="G18" s="3">
        <f t="shared" si="0"/>
        <v>10045</v>
      </c>
    </row>
    <row r="19" spans="1:7" x14ac:dyDescent="0.3">
      <c r="A19" s="3">
        <v>17</v>
      </c>
      <c r="B19" s="3">
        <f t="shared" si="1"/>
        <v>113</v>
      </c>
      <c r="C19" s="3">
        <v>12000</v>
      </c>
      <c r="D19" s="3">
        <v>12000</v>
      </c>
      <c r="E19" s="3">
        <v>7</v>
      </c>
      <c r="F19" s="3">
        <v>2068</v>
      </c>
      <c r="G19" s="3">
        <f t="shared" si="0"/>
        <v>9932</v>
      </c>
    </row>
    <row r="20" spans="1:7" x14ac:dyDescent="0.3">
      <c r="A20" s="3">
        <v>18</v>
      </c>
      <c r="B20" s="3">
        <f t="shared" si="1"/>
        <v>118</v>
      </c>
      <c r="C20" s="3">
        <v>12000</v>
      </c>
      <c r="D20" s="3">
        <v>12000</v>
      </c>
      <c r="E20" s="3">
        <v>8</v>
      </c>
      <c r="F20" s="3">
        <v>2440</v>
      </c>
      <c r="G20" s="3">
        <f t="shared" si="0"/>
        <v>9560</v>
      </c>
    </row>
    <row r="21" spans="1:7" x14ac:dyDescent="0.3">
      <c r="A21" s="3">
        <v>19</v>
      </c>
      <c r="B21" s="3">
        <f t="shared" si="1"/>
        <v>83</v>
      </c>
      <c r="C21" s="3">
        <v>12000</v>
      </c>
      <c r="D21" s="3">
        <v>12000</v>
      </c>
      <c r="E21" s="3">
        <v>1</v>
      </c>
      <c r="F21" s="3">
        <v>2523</v>
      </c>
      <c r="G21" s="3">
        <f t="shared" si="0"/>
        <v>9477</v>
      </c>
    </row>
    <row r="22" spans="1:7" x14ac:dyDescent="0.3">
      <c r="A22" s="3">
        <v>20</v>
      </c>
      <c r="B22" s="3">
        <f t="shared" si="1"/>
        <v>118</v>
      </c>
      <c r="C22" s="3">
        <v>12000</v>
      </c>
      <c r="D22" s="3">
        <v>12000</v>
      </c>
      <c r="E22" s="3">
        <v>8</v>
      </c>
      <c r="F22" s="3">
        <v>2641</v>
      </c>
      <c r="G22" s="3">
        <f t="shared" si="0"/>
        <v>9359</v>
      </c>
    </row>
    <row r="23" spans="1:7" x14ac:dyDescent="0.3">
      <c r="A23" s="3">
        <v>21</v>
      </c>
      <c r="B23" s="3">
        <f t="shared" si="1"/>
        <v>103</v>
      </c>
      <c r="C23" s="3">
        <v>12000</v>
      </c>
      <c r="D23" s="3">
        <v>12000</v>
      </c>
      <c r="E23" s="3">
        <v>5</v>
      </c>
      <c r="F23" s="3">
        <v>2744</v>
      </c>
      <c r="G23" s="3">
        <f t="shared" si="0"/>
        <v>9256</v>
      </c>
    </row>
    <row r="24" spans="1:7" x14ac:dyDescent="0.3">
      <c r="A24" s="3">
        <v>22</v>
      </c>
      <c r="B24" s="3">
        <f t="shared" si="1"/>
        <v>138</v>
      </c>
      <c r="C24" s="3">
        <v>12000</v>
      </c>
      <c r="D24" s="3">
        <v>12000</v>
      </c>
      <c r="E24" s="3">
        <v>12</v>
      </c>
      <c r="F24" s="3">
        <v>2882</v>
      </c>
      <c r="G24" s="3">
        <f t="shared" si="0"/>
        <v>9118</v>
      </c>
    </row>
    <row r="25" spans="1:7" x14ac:dyDescent="0.3">
      <c r="A25" s="3">
        <v>23</v>
      </c>
      <c r="B25" s="3">
        <f t="shared" si="1"/>
        <v>103</v>
      </c>
      <c r="C25" s="3">
        <v>12000</v>
      </c>
      <c r="D25" s="3">
        <v>12000</v>
      </c>
      <c r="E25" s="3">
        <v>5</v>
      </c>
      <c r="F25" s="3">
        <v>2985</v>
      </c>
      <c r="G25" s="3">
        <f t="shared" si="0"/>
        <v>9015</v>
      </c>
    </row>
    <row r="26" spans="1:7" x14ac:dyDescent="0.3">
      <c r="A26" s="3">
        <v>24</v>
      </c>
      <c r="B26" s="3">
        <f t="shared" si="1"/>
        <v>118</v>
      </c>
      <c r="C26" s="3">
        <v>20000</v>
      </c>
      <c r="D26" s="3">
        <v>20000</v>
      </c>
      <c r="E26" s="3">
        <v>8</v>
      </c>
      <c r="F26" s="3">
        <v>3103</v>
      </c>
      <c r="G26" s="3">
        <f t="shared" si="0"/>
        <v>16897</v>
      </c>
    </row>
    <row r="27" spans="1:7" x14ac:dyDescent="0.3">
      <c r="A27" s="3">
        <v>25</v>
      </c>
      <c r="B27" s="3">
        <f t="shared" si="1"/>
        <v>118</v>
      </c>
      <c r="C27" s="3">
        <v>20000</v>
      </c>
      <c r="D27" s="3">
        <v>20000</v>
      </c>
      <c r="E27" s="3">
        <v>8</v>
      </c>
      <c r="F27" s="3">
        <v>3221</v>
      </c>
      <c r="G27" s="3">
        <f t="shared" si="0"/>
        <v>16779</v>
      </c>
    </row>
    <row r="28" spans="1:7" x14ac:dyDescent="0.3">
      <c r="A28" s="3">
        <v>26</v>
      </c>
      <c r="B28" s="3">
        <f t="shared" si="1"/>
        <v>118</v>
      </c>
      <c r="C28" s="3">
        <v>20000</v>
      </c>
      <c r="D28" s="3">
        <v>20000</v>
      </c>
      <c r="E28" s="3">
        <v>8</v>
      </c>
      <c r="F28" s="3">
        <v>3339</v>
      </c>
      <c r="G28" s="3">
        <f t="shared" si="0"/>
        <v>16661</v>
      </c>
    </row>
    <row r="29" spans="1:7" x14ac:dyDescent="0.3">
      <c r="A29" s="3">
        <v>27</v>
      </c>
      <c r="B29" s="3">
        <f t="shared" si="1"/>
        <v>108</v>
      </c>
      <c r="C29" s="3">
        <v>25000</v>
      </c>
      <c r="D29" s="3">
        <v>25000</v>
      </c>
      <c r="E29" s="3">
        <v>6</v>
      </c>
      <c r="F29" s="3">
        <v>3447</v>
      </c>
      <c r="G29" s="3">
        <f t="shared" si="0"/>
        <v>21553</v>
      </c>
    </row>
    <row r="30" spans="1:7" x14ac:dyDescent="0.3">
      <c r="A30" s="3">
        <v>28</v>
      </c>
      <c r="B30" s="3">
        <f t="shared" si="1"/>
        <v>118</v>
      </c>
      <c r="C30" s="3">
        <v>25000</v>
      </c>
      <c r="D30" s="3">
        <v>25000</v>
      </c>
      <c r="E30" s="3">
        <v>8</v>
      </c>
      <c r="F30" s="3">
        <v>3565</v>
      </c>
      <c r="G30" s="3">
        <f t="shared" si="0"/>
        <v>21435</v>
      </c>
    </row>
    <row r="31" spans="1:7" x14ac:dyDescent="0.3">
      <c r="A31" s="3">
        <v>29</v>
      </c>
      <c r="B31" s="3">
        <f t="shared" si="1"/>
        <v>138</v>
      </c>
      <c r="C31" s="3">
        <v>25000</v>
      </c>
      <c r="D31" s="3">
        <v>25000</v>
      </c>
      <c r="E31" s="3">
        <v>12</v>
      </c>
      <c r="F31" s="3">
        <v>3703</v>
      </c>
      <c r="G31" s="3">
        <f t="shared" si="0"/>
        <v>21297</v>
      </c>
    </row>
    <row r="32" spans="1:7" x14ac:dyDescent="0.3">
      <c r="A32" s="3">
        <v>30</v>
      </c>
      <c r="B32" s="3">
        <f t="shared" si="1"/>
        <v>108</v>
      </c>
      <c r="C32" s="3">
        <v>25000</v>
      </c>
      <c r="D32" s="3">
        <v>25000</v>
      </c>
      <c r="E32" s="3">
        <v>6</v>
      </c>
      <c r="F32" s="3">
        <v>3811</v>
      </c>
      <c r="G32" s="3">
        <f t="shared" si="0"/>
        <v>21189</v>
      </c>
    </row>
    <row r="33" spans="1:7" x14ac:dyDescent="0.3">
      <c r="A33" s="3">
        <v>31</v>
      </c>
      <c r="B33" s="3">
        <f t="shared" si="1"/>
        <v>180.5</v>
      </c>
      <c r="C33" s="3">
        <v>25000</v>
      </c>
      <c r="D33" s="3">
        <v>25000</v>
      </c>
      <c r="E33" s="3">
        <v>20</v>
      </c>
      <c r="F33" s="3">
        <v>3969</v>
      </c>
      <c r="G33" s="3">
        <f t="shared" si="0"/>
        <v>21031</v>
      </c>
    </row>
    <row r="34" spans="1:7" x14ac:dyDescent="0.3">
      <c r="A34" s="3">
        <v>32</v>
      </c>
      <c r="B34" s="3">
        <f t="shared" si="1"/>
        <v>118</v>
      </c>
      <c r="C34" s="3">
        <v>25000</v>
      </c>
      <c r="D34" s="3">
        <v>25000</v>
      </c>
      <c r="E34" s="3">
        <v>8</v>
      </c>
      <c r="F34" s="3">
        <v>4087</v>
      </c>
      <c r="G34" s="3">
        <f t="shared" si="0"/>
        <v>20913</v>
      </c>
    </row>
    <row r="35" spans="1:7" x14ac:dyDescent="0.3">
      <c r="A35" s="3">
        <v>33</v>
      </c>
      <c r="B35" s="3">
        <f t="shared" si="1"/>
        <v>83</v>
      </c>
      <c r="C35" s="3">
        <v>25000</v>
      </c>
      <c r="D35" s="3">
        <v>25000</v>
      </c>
      <c r="E35" s="3">
        <v>1</v>
      </c>
      <c r="F35" s="3">
        <v>4424</v>
      </c>
      <c r="G35" s="3">
        <f t="shared" ref="G35:G66" si="2">C35-F35</f>
        <v>20576</v>
      </c>
    </row>
    <row r="36" spans="1:7" x14ac:dyDescent="0.3">
      <c r="A36" s="3">
        <v>34</v>
      </c>
      <c r="B36" s="3">
        <f t="shared" si="1"/>
        <v>83</v>
      </c>
      <c r="C36" s="3">
        <v>25000</v>
      </c>
      <c r="D36" s="3">
        <v>25000</v>
      </c>
      <c r="E36" s="3">
        <v>1</v>
      </c>
      <c r="F36" s="3">
        <v>4507</v>
      </c>
      <c r="G36" s="3">
        <f t="shared" si="2"/>
        <v>20493</v>
      </c>
    </row>
    <row r="37" spans="1:7" x14ac:dyDescent="0.3">
      <c r="A37" s="3">
        <v>35</v>
      </c>
      <c r="B37" s="3">
        <f t="shared" si="1"/>
        <v>118</v>
      </c>
      <c r="C37" s="3">
        <v>25000</v>
      </c>
      <c r="D37" s="3">
        <v>25000</v>
      </c>
      <c r="E37" s="3">
        <v>8</v>
      </c>
      <c r="F37" s="3">
        <v>4625</v>
      </c>
      <c r="G37" s="3">
        <f t="shared" si="2"/>
        <v>20375</v>
      </c>
    </row>
    <row r="38" spans="1:7" x14ac:dyDescent="0.3">
      <c r="A38" s="3">
        <v>36</v>
      </c>
      <c r="B38" s="3">
        <f t="shared" si="1"/>
        <v>113</v>
      </c>
      <c r="C38" s="3">
        <v>25000</v>
      </c>
      <c r="D38" s="3">
        <v>25000</v>
      </c>
      <c r="E38" s="3">
        <v>7</v>
      </c>
      <c r="F38" s="3">
        <v>4738</v>
      </c>
      <c r="G38" s="3">
        <f t="shared" si="2"/>
        <v>20262</v>
      </c>
    </row>
    <row r="39" spans="1:7" x14ac:dyDescent="0.3">
      <c r="A39" s="3">
        <v>37</v>
      </c>
      <c r="B39" s="3">
        <f t="shared" si="1"/>
        <v>113</v>
      </c>
      <c r="C39" s="3">
        <v>25000</v>
      </c>
      <c r="D39" s="3">
        <v>25000</v>
      </c>
      <c r="E39" s="3">
        <v>7</v>
      </c>
      <c r="F39" s="3">
        <v>4851</v>
      </c>
      <c r="G39" s="3">
        <f t="shared" si="2"/>
        <v>20149</v>
      </c>
    </row>
    <row r="40" spans="1:7" x14ac:dyDescent="0.3">
      <c r="A40" s="3">
        <v>38</v>
      </c>
      <c r="B40" s="3">
        <f t="shared" si="1"/>
        <v>118</v>
      </c>
      <c r="C40" s="3">
        <v>30000</v>
      </c>
      <c r="D40" s="3">
        <v>30000</v>
      </c>
      <c r="E40" s="3">
        <v>8</v>
      </c>
      <c r="F40" s="3">
        <v>4969</v>
      </c>
      <c r="G40" s="3">
        <f t="shared" si="2"/>
        <v>25031</v>
      </c>
    </row>
    <row r="41" spans="1:7" x14ac:dyDescent="0.3">
      <c r="A41" s="3">
        <v>39</v>
      </c>
      <c r="B41" s="3">
        <f t="shared" si="1"/>
        <v>118</v>
      </c>
      <c r="C41" s="3">
        <v>100000</v>
      </c>
      <c r="D41" s="3">
        <v>100000</v>
      </c>
      <c r="E41" s="3">
        <v>8</v>
      </c>
      <c r="F41" s="3">
        <v>5087</v>
      </c>
      <c r="G41" s="3">
        <f t="shared" si="2"/>
        <v>94913</v>
      </c>
    </row>
    <row r="42" spans="1:7" x14ac:dyDescent="0.3">
      <c r="A42" s="3">
        <v>40</v>
      </c>
      <c r="B42" s="3">
        <f t="shared" si="1"/>
        <v>108</v>
      </c>
      <c r="C42" s="3">
        <v>200000</v>
      </c>
      <c r="D42" s="3">
        <v>200000</v>
      </c>
      <c r="E42" s="3">
        <v>6</v>
      </c>
      <c r="F42" s="3">
        <v>5489</v>
      </c>
      <c r="G42" s="3">
        <f t="shared" si="2"/>
        <v>194511</v>
      </c>
    </row>
    <row r="43" spans="1:7" x14ac:dyDescent="0.3">
      <c r="A43" s="3">
        <v>41</v>
      </c>
      <c r="B43" s="3">
        <f t="shared" si="1"/>
        <v>108</v>
      </c>
      <c r="C43" s="3">
        <v>50000</v>
      </c>
      <c r="D43" s="3">
        <v>50000</v>
      </c>
      <c r="E43" s="3">
        <v>6</v>
      </c>
      <c r="F43" s="3">
        <v>5597</v>
      </c>
      <c r="G43" s="3">
        <f t="shared" si="2"/>
        <v>44403</v>
      </c>
    </row>
    <row r="44" spans="1:7" x14ac:dyDescent="0.3">
      <c r="A44" s="3">
        <v>42</v>
      </c>
      <c r="B44" s="3">
        <f t="shared" si="1"/>
        <v>108</v>
      </c>
      <c r="C44" s="3">
        <v>50000</v>
      </c>
      <c r="D44" s="3">
        <v>50000</v>
      </c>
      <c r="E44" s="3">
        <v>6</v>
      </c>
      <c r="F44" s="3">
        <v>5705</v>
      </c>
      <c r="G44" s="3">
        <f t="shared" si="2"/>
        <v>44295</v>
      </c>
    </row>
    <row r="45" spans="1:7" x14ac:dyDescent="0.3">
      <c r="A45" s="3">
        <v>43</v>
      </c>
      <c r="B45" s="3">
        <f t="shared" si="1"/>
        <v>113</v>
      </c>
      <c r="C45" s="3">
        <v>50000</v>
      </c>
      <c r="D45" s="3">
        <v>50000</v>
      </c>
      <c r="E45" s="3">
        <v>7</v>
      </c>
      <c r="F45" s="3">
        <v>5818</v>
      </c>
      <c r="G45" s="3">
        <f t="shared" si="2"/>
        <v>44182</v>
      </c>
    </row>
    <row r="46" spans="1:7" x14ac:dyDescent="0.3">
      <c r="A46" s="3">
        <v>44</v>
      </c>
      <c r="B46" s="3">
        <f t="shared" si="1"/>
        <v>113</v>
      </c>
      <c r="C46" s="3">
        <v>50000</v>
      </c>
      <c r="D46" s="3">
        <v>50000</v>
      </c>
      <c r="E46" s="3">
        <v>7</v>
      </c>
      <c r="F46" s="3">
        <v>5931</v>
      </c>
      <c r="G46" s="3">
        <f t="shared" si="2"/>
        <v>44069</v>
      </c>
    </row>
    <row r="47" spans="1:7" x14ac:dyDescent="0.3">
      <c r="A47" s="3">
        <v>45</v>
      </c>
      <c r="B47" s="3">
        <f t="shared" si="1"/>
        <v>138</v>
      </c>
      <c r="C47" s="3">
        <v>50000</v>
      </c>
      <c r="D47" s="3">
        <v>50000</v>
      </c>
      <c r="E47" s="3">
        <v>12</v>
      </c>
      <c r="F47" s="3">
        <v>6069</v>
      </c>
      <c r="G47" s="3">
        <f t="shared" si="2"/>
        <v>43931</v>
      </c>
    </row>
    <row r="48" spans="1:7" x14ac:dyDescent="0.3">
      <c r="A48" s="3">
        <v>46</v>
      </c>
      <c r="B48" s="3">
        <f t="shared" si="1"/>
        <v>108</v>
      </c>
      <c r="C48" s="3">
        <v>250000</v>
      </c>
      <c r="D48" s="3">
        <v>250000</v>
      </c>
      <c r="E48" s="3">
        <v>6</v>
      </c>
      <c r="F48" s="3">
        <v>6431</v>
      </c>
      <c r="G48" s="3">
        <f t="shared" si="2"/>
        <v>243569</v>
      </c>
    </row>
    <row r="49" spans="1:7" x14ac:dyDescent="0.3">
      <c r="A49" s="3">
        <v>47</v>
      </c>
      <c r="B49" s="3">
        <f t="shared" si="1"/>
        <v>103</v>
      </c>
      <c r="C49" s="3">
        <v>1000000</v>
      </c>
      <c r="D49" s="3">
        <v>1000000</v>
      </c>
      <c r="E49" s="3">
        <v>5</v>
      </c>
      <c r="F49" s="3">
        <v>6534</v>
      </c>
      <c r="G49" s="3">
        <f t="shared" si="2"/>
        <v>993466</v>
      </c>
    </row>
    <row r="50" spans="1:7" x14ac:dyDescent="0.3">
      <c r="A50" s="3">
        <v>48</v>
      </c>
      <c r="B50" s="3">
        <f t="shared" si="1"/>
        <v>103</v>
      </c>
      <c r="C50" s="3">
        <v>100000</v>
      </c>
      <c r="D50" s="3">
        <v>100000</v>
      </c>
      <c r="E50" s="3">
        <v>5</v>
      </c>
      <c r="F50" s="3">
        <v>6637</v>
      </c>
      <c r="G50" s="3">
        <f t="shared" si="2"/>
        <v>93363</v>
      </c>
    </row>
    <row r="51" spans="1:7" x14ac:dyDescent="0.3">
      <c r="A51" s="3">
        <v>49</v>
      </c>
      <c r="B51" s="3">
        <f t="shared" si="1"/>
        <v>118</v>
      </c>
      <c r="C51" s="3">
        <v>100000</v>
      </c>
      <c r="D51" s="3">
        <v>100000</v>
      </c>
      <c r="E51" s="3">
        <v>8</v>
      </c>
      <c r="F51" s="3">
        <v>6755</v>
      </c>
      <c r="G51" s="3">
        <f t="shared" si="2"/>
        <v>93245</v>
      </c>
    </row>
    <row r="52" spans="1:7" x14ac:dyDescent="0.3">
      <c r="A52" s="3">
        <v>50</v>
      </c>
      <c r="B52" s="3">
        <f t="shared" si="1"/>
        <v>118</v>
      </c>
      <c r="C52" s="3">
        <v>100000</v>
      </c>
      <c r="D52" s="3">
        <v>100000</v>
      </c>
      <c r="E52" s="3">
        <v>8</v>
      </c>
      <c r="F52" s="3">
        <v>6873</v>
      </c>
      <c r="G52" s="3">
        <f t="shared" si="2"/>
        <v>93127</v>
      </c>
    </row>
    <row r="53" spans="1:7" x14ac:dyDescent="0.3">
      <c r="A53" s="3">
        <v>51</v>
      </c>
      <c r="B53" s="3">
        <f t="shared" si="1"/>
        <v>118</v>
      </c>
      <c r="C53" s="3">
        <v>100000</v>
      </c>
      <c r="D53" s="3">
        <v>100000</v>
      </c>
      <c r="E53" s="3">
        <v>8</v>
      </c>
      <c r="F53" s="3">
        <v>6991</v>
      </c>
      <c r="G53" s="3">
        <f t="shared" si="2"/>
        <v>93009</v>
      </c>
    </row>
    <row r="54" spans="1:7" x14ac:dyDescent="0.3">
      <c r="A54" s="3">
        <v>52</v>
      </c>
      <c r="B54" s="3">
        <f t="shared" si="1"/>
        <v>113</v>
      </c>
      <c r="C54" s="3">
        <v>100000</v>
      </c>
      <c r="D54" s="3">
        <v>100000</v>
      </c>
      <c r="E54" s="3">
        <v>7</v>
      </c>
      <c r="F54" s="3">
        <v>7104</v>
      </c>
      <c r="G54" s="3">
        <f t="shared" si="2"/>
        <v>92896</v>
      </c>
    </row>
    <row r="55" spans="1:7" x14ac:dyDescent="0.3">
      <c r="A55" s="3">
        <v>53</v>
      </c>
      <c r="B55" s="3">
        <f t="shared" si="1"/>
        <v>113</v>
      </c>
      <c r="C55" s="3">
        <v>100000</v>
      </c>
      <c r="D55" s="3">
        <v>100000</v>
      </c>
      <c r="E55" s="3">
        <v>7</v>
      </c>
      <c r="F55" s="3">
        <v>7217</v>
      </c>
      <c r="G55" s="3">
        <f t="shared" si="2"/>
        <v>92783</v>
      </c>
    </row>
    <row r="56" spans="1:7" x14ac:dyDescent="0.3">
      <c r="A56" s="3">
        <v>54</v>
      </c>
      <c r="B56" s="3">
        <f t="shared" si="1"/>
        <v>108</v>
      </c>
      <c r="C56" s="3">
        <v>100000</v>
      </c>
      <c r="D56" s="3">
        <v>100000</v>
      </c>
      <c r="E56" s="3">
        <v>6</v>
      </c>
      <c r="F56" s="3">
        <v>7325</v>
      </c>
      <c r="G56" s="3">
        <f t="shared" si="2"/>
        <v>92675</v>
      </c>
    </row>
    <row r="57" spans="1:7" x14ac:dyDescent="0.3">
      <c r="A57" s="3">
        <v>55</v>
      </c>
      <c r="B57" s="3">
        <f t="shared" si="1"/>
        <v>93</v>
      </c>
      <c r="C57" s="3">
        <v>100000</v>
      </c>
      <c r="D57" s="3">
        <v>100000</v>
      </c>
      <c r="E57" s="3">
        <v>3</v>
      </c>
      <c r="F57" s="3">
        <v>7418</v>
      </c>
      <c r="G57" s="3">
        <f t="shared" si="2"/>
        <v>92582</v>
      </c>
    </row>
    <row r="58" spans="1:7" x14ac:dyDescent="0.3">
      <c r="A58" s="3">
        <v>56</v>
      </c>
      <c r="B58" s="3">
        <f t="shared" si="1"/>
        <v>118</v>
      </c>
      <c r="C58" s="3">
        <v>100000</v>
      </c>
      <c r="D58" s="3">
        <v>100000</v>
      </c>
      <c r="E58" s="3">
        <v>8</v>
      </c>
      <c r="F58" s="3">
        <v>7536</v>
      </c>
      <c r="G58" s="3">
        <f t="shared" si="2"/>
        <v>92464</v>
      </c>
    </row>
    <row r="59" spans="1:7" x14ac:dyDescent="0.3">
      <c r="A59" s="3">
        <v>57</v>
      </c>
      <c r="B59" s="3">
        <f t="shared" si="1"/>
        <v>118</v>
      </c>
      <c r="C59" s="3">
        <v>100000</v>
      </c>
      <c r="D59" s="3">
        <v>100000</v>
      </c>
      <c r="E59" s="3">
        <v>8</v>
      </c>
      <c r="F59" s="3">
        <v>7654</v>
      </c>
      <c r="G59" s="3">
        <f t="shared" si="2"/>
        <v>92346</v>
      </c>
    </row>
    <row r="60" spans="1:7" x14ac:dyDescent="0.3">
      <c r="A60" s="3">
        <v>58</v>
      </c>
      <c r="B60" s="3">
        <f t="shared" si="1"/>
        <v>138</v>
      </c>
      <c r="C60" s="3">
        <v>100000</v>
      </c>
      <c r="D60" s="3">
        <v>100000</v>
      </c>
      <c r="E60" s="3">
        <v>12</v>
      </c>
      <c r="F60" s="3">
        <v>7792</v>
      </c>
      <c r="G60" s="3">
        <f t="shared" si="2"/>
        <v>92208</v>
      </c>
    </row>
    <row r="61" spans="1:7" x14ac:dyDescent="0.3">
      <c r="A61" s="3">
        <v>59</v>
      </c>
      <c r="B61" s="3">
        <f t="shared" si="1"/>
        <v>118</v>
      </c>
      <c r="C61" s="3">
        <v>100000</v>
      </c>
      <c r="D61" s="3">
        <v>100000</v>
      </c>
      <c r="E61" s="3">
        <v>8</v>
      </c>
      <c r="F61" s="3">
        <v>7910</v>
      </c>
      <c r="G61" s="3">
        <f t="shared" si="2"/>
        <v>92090</v>
      </c>
    </row>
    <row r="62" spans="1:7" x14ac:dyDescent="0.3">
      <c r="A62" s="3">
        <v>60</v>
      </c>
      <c r="B62" s="3">
        <f t="shared" si="1"/>
        <v>98</v>
      </c>
      <c r="C62" s="3">
        <v>100000</v>
      </c>
      <c r="D62" s="3">
        <v>100000</v>
      </c>
      <c r="E62" s="3">
        <v>4</v>
      </c>
      <c r="F62" s="3">
        <v>8008</v>
      </c>
      <c r="G62" s="3">
        <f t="shared" si="2"/>
        <v>91992</v>
      </c>
    </row>
    <row r="63" spans="1:7" x14ac:dyDescent="0.3">
      <c r="A63" s="3">
        <v>61</v>
      </c>
      <c r="B63" s="3">
        <f t="shared" si="1"/>
        <v>158</v>
      </c>
      <c r="C63" s="3">
        <v>100000</v>
      </c>
      <c r="D63" s="3">
        <v>100000</v>
      </c>
      <c r="E63" s="3">
        <v>16</v>
      </c>
      <c r="F63" s="3">
        <v>8146</v>
      </c>
      <c r="G63" s="3">
        <f t="shared" si="2"/>
        <v>91854</v>
      </c>
    </row>
    <row r="64" spans="1:7" x14ac:dyDescent="0.3">
      <c r="A64" s="3">
        <v>62</v>
      </c>
      <c r="B64" s="3">
        <f t="shared" si="1"/>
        <v>88</v>
      </c>
      <c r="C64" s="3">
        <v>100000</v>
      </c>
      <c r="D64" s="3">
        <v>100000</v>
      </c>
      <c r="E64" s="3">
        <v>2</v>
      </c>
      <c r="F64" s="3">
        <v>8488</v>
      </c>
      <c r="G64" s="3">
        <f t="shared" si="2"/>
        <v>91512</v>
      </c>
    </row>
    <row r="65" spans="1:7" x14ac:dyDescent="0.3">
      <c r="A65" s="3">
        <v>63</v>
      </c>
      <c r="B65" s="3">
        <f t="shared" si="1"/>
        <v>118</v>
      </c>
      <c r="C65" s="3">
        <v>160000</v>
      </c>
      <c r="D65" s="3">
        <v>160000</v>
      </c>
      <c r="E65" s="3">
        <v>8</v>
      </c>
      <c r="F65" s="3">
        <v>8606</v>
      </c>
      <c r="G65" s="3">
        <f t="shared" si="2"/>
        <v>151394</v>
      </c>
    </row>
    <row r="66" spans="1:7" x14ac:dyDescent="0.3">
      <c r="A66" s="3">
        <v>64</v>
      </c>
      <c r="B66" s="3">
        <f t="shared" si="1"/>
        <v>118</v>
      </c>
      <c r="C66" s="3">
        <v>160000</v>
      </c>
      <c r="D66" s="3">
        <v>160000</v>
      </c>
      <c r="E66" s="3">
        <v>8</v>
      </c>
      <c r="F66" s="3">
        <v>8724</v>
      </c>
      <c r="G66" s="3">
        <f t="shared" si="2"/>
        <v>151276</v>
      </c>
    </row>
    <row r="67" spans="1:7" x14ac:dyDescent="0.3">
      <c r="A67" s="3">
        <v>65</v>
      </c>
      <c r="B67" s="3">
        <f t="shared" si="1"/>
        <v>118</v>
      </c>
      <c r="C67" s="3">
        <v>160000</v>
      </c>
      <c r="D67" s="3">
        <v>160000</v>
      </c>
      <c r="E67" s="3">
        <v>8</v>
      </c>
      <c r="F67" s="3">
        <v>8842</v>
      </c>
      <c r="G67" s="3">
        <f t="shared" ref="G67:G98" si="3">C67-F67</f>
        <v>151158</v>
      </c>
    </row>
    <row r="68" spans="1:7" x14ac:dyDescent="0.3">
      <c r="A68" s="3">
        <v>66</v>
      </c>
      <c r="B68" s="3">
        <f t="shared" si="1"/>
        <v>118</v>
      </c>
      <c r="C68" s="3">
        <v>160000</v>
      </c>
      <c r="D68" s="3">
        <v>160000</v>
      </c>
      <c r="E68" s="3">
        <v>8</v>
      </c>
      <c r="F68" s="3">
        <v>8960</v>
      </c>
      <c r="G68" s="3">
        <f t="shared" si="3"/>
        <v>151040</v>
      </c>
    </row>
    <row r="69" spans="1:7" x14ac:dyDescent="0.3">
      <c r="A69" s="3">
        <v>67</v>
      </c>
      <c r="B69" s="3">
        <f t="shared" si="1"/>
        <v>118</v>
      </c>
      <c r="C69" s="3">
        <v>160000</v>
      </c>
      <c r="D69" s="3">
        <v>160000</v>
      </c>
      <c r="E69" s="3">
        <v>8</v>
      </c>
      <c r="F69" s="3">
        <v>9078</v>
      </c>
      <c r="G69" s="3">
        <f t="shared" si="3"/>
        <v>150922</v>
      </c>
    </row>
    <row r="70" spans="1:7" x14ac:dyDescent="0.3">
      <c r="A70" s="3">
        <v>68</v>
      </c>
      <c r="B70" s="3">
        <f t="shared" ref="B70:B108" si="4">IF(E70&lt;=16,32*2+(28+10*E70)*0.5,32*2+(33+10*E70)*0.5)</f>
        <v>118</v>
      </c>
      <c r="C70" s="3">
        <v>160000</v>
      </c>
      <c r="D70" s="3">
        <v>160000</v>
      </c>
      <c r="E70" s="3">
        <v>8</v>
      </c>
      <c r="F70" s="3">
        <v>9196</v>
      </c>
      <c r="G70" s="3">
        <f t="shared" si="3"/>
        <v>150804</v>
      </c>
    </row>
    <row r="71" spans="1:7" x14ac:dyDescent="0.3">
      <c r="A71" s="3">
        <v>69</v>
      </c>
      <c r="B71" s="3">
        <f t="shared" si="4"/>
        <v>118</v>
      </c>
      <c r="C71" s="3">
        <v>160000</v>
      </c>
      <c r="D71" s="3">
        <v>160000</v>
      </c>
      <c r="E71" s="3">
        <v>8</v>
      </c>
      <c r="F71" s="3">
        <v>9314</v>
      </c>
      <c r="G71" s="3">
        <f t="shared" si="3"/>
        <v>150686</v>
      </c>
    </row>
    <row r="72" spans="1:7" x14ac:dyDescent="0.3">
      <c r="A72" s="3">
        <v>70</v>
      </c>
      <c r="B72" s="3">
        <f t="shared" si="4"/>
        <v>118</v>
      </c>
      <c r="C72" s="3">
        <v>192000</v>
      </c>
      <c r="D72" s="3">
        <v>192000</v>
      </c>
      <c r="E72" s="3">
        <v>8</v>
      </c>
      <c r="F72" s="3">
        <v>9432</v>
      </c>
      <c r="G72" s="3">
        <f t="shared" si="3"/>
        <v>182568</v>
      </c>
    </row>
    <row r="73" spans="1:7" x14ac:dyDescent="0.3">
      <c r="A73" s="3">
        <v>71</v>
      </c>
      <c r="B73" s="3">
        <f t="shared" si="4"/>
        <v>118</v>
      </c>
      <c r="C73" s="3">
        <v>192000</v>
      </c>
      <c r="D73" s="3">
        <v>192000</v>
      </c>
      <c r="E73" s="3">
        <v>8</v>
      </c>
      <c r="F73" s="3">
        <v>9550</v>
      </c>
      <c r="G73" s="3">
        <f t="shared" si="3"/>
        <v>182450</v>
      </c>
    </row>
    <row r="74" spans="1:7" x14ac:dyDescent="0.3">
      <c r="A74" s="3">
        <v>72</v>
      </c>
      <c r="B74" s="3">
        <f t="shared" si="4"/>
        <v>118</v>
      </c>
      <c r="C74" s="3">
        <v>320000</v>
      </c>
      <c r="D74" s="3">
        <v>320000</v>
      </c>
      <c r="E74" s="3">
        <v>8</v>
      </c>
      <c r="F74" s="3">
        <v>9668</v>
      </c>
      <c r="G74" s="3">
        <f t="shared" si="3"/>
        <v>310332</v>
      </c>
    </row>
    <row r="75" spans="1:7" x14ac:dyDescent="0.3">
      <c r="A75" s="3">
        <v>73</v>
      </c>
      <c r="B75" s="3">
        <f t="shared" si="4"/>
        <v>118</v>
      </c>
      <c r="C75" s="3">
        <v>400000</v>
      </c>
      <c r="D75" s="3">
        <v>400000</v>
      </c>
      <c r="E75" s="3">
        <v>8</v>
      </c>
      <c r="F75" s="3">
        <v>9786</v>
      </c>
      <c r="G75" s="3">
        <f t="shared" si="3"/>
        <v>390214</v>
      </c>
    </row>
    <row r="76" spans="1:7" x14ac:dyDescent="0.3">
      <c r="A76" s="3">
        <v>74</v>
      </c>
      <c r="B76" s="3">
        <f t="shared" si="4"/>
        <v>118</v>
      </c>
      <c r="C76" s="3">
        <v>480000</v>
      </c>
      <c r="D76" s="3">
        <v>480000</v>
      </c>
      <c r="E76" s="3">
        <v>8</v>
      </c>
      <c r="F76" s="3">
        <v>9904</v>
      </c>
      <c r="G76" s="3">
        <f t="shared" si="3"/>
        <v>470096</v>
      </c>
    </row>
    <row r="77" spans="1:7" x14ac:dyDescent="0.3">
      <c r="A77" s="3">
        <v>75</v>
      </c>
      <c r="B77" s="3">
        <f t="shared" si="4"/>
        <v>118</v>
      </c>
      <c r="C77" s="3">
        <v>400000</v>
      </c>
      <c r="D77" s="3">
        <v>400000</v>
      </c>
      <c r="E77" s="3">
        <v>8</v>
      </c>
      <c r="F77" s="3">
        <v>10022</v>
      </c>
      <c r="G77" s="3">
        <f t="shared" si="3"/>
        <v>389978</v>
      </c>
    </row>
    <row r="78" spans="1:7" x14ac:dyDescent="0.3">
      <c r="A78" s="3">
        <v>76</v>
      </c>
      <c r="B78" s="3">
        <f t="shared" si="4"/>
        <v>118</v>
      </c>
      <c r="C78" s="3">
        <v>320000</v>
      </c>
      <c r="D78" s="3">
        <v>320000</v>
      </c>
      <c r="E78" s="3">
        <v>8</v>
      </c>
      <c r="F78" s="3">
        <v>11391</v>
      </c>
      <c r="G78" s="3">
        <f t="shared" si="3"/>
        <v>308609</v>
      </c>
    </row>
    <row r="79" spans="1:7" x14ac:dyDescent="0.3">
      <c r="A79" s="3">
        <v>77</v>
      </c>
      <c r="B79" s="3">
        <f t="shared" si="4"/>
        <v>118</v>
      </c>
      <c r="C79" s="3">
        <v>192000</v>
      </c>
      <c r="D79" s="3">
        <v>192000</v>
      </c>
      <c r="E79" s="3">
        <v>8</v>
      </c>
      <c r="F79" s="3">
        <v>11509</v>
      </c>
      <c r="G79" s="3">
        <f t="shared" si="3"/>
        <v>180491</v>
      </c>
    </row>
    <row r="80" spans="1:7" x14ac:dyDescent="0.3">
      <c r="A80" s="3">
        <v>78</v>
      </c>
      <c r="B80" s="3">
        <f t="shared" si="4"/>
        <v>118</v>
      </c>
      <c r="C80" s="3">
        <v>200000</v>
      </c>
      <c r="D80" s="3">
        <v>200000</v>
      </c>
      <c r="E80" s="3">
        <v>8</v>
      </c>
      <c r="F80" s="3">
        <v>11627</v>
      </c>
      <c r="G80" s="3">
        <f t="shared" si="3"/>
        <v>188373</v>
      </c>
    </row>
    <row r="81" spans="1:7" x14ac:dyDescent="0.3">
      <c r="A81" s="3">
        <v>79</v>
      </c>
      <c r="B81" s="3">
        <f t="shared" si="4"/>
        <v>118</v>
      </c>
      <c r="C81" s="3">
        <v>160000</v>
      </c>
      <c r="D81" s="3">
        <v>160000</v>
      </c>
      <c r="E81" s="3">
        <v>8</v>
      </c>
      <c r="F81" s="3">
        <v>11745</v>
      </c>
      <c r="G81" s="3">
        <f t="shared" si="3"/>
        <v>148255</v>
      </c>
    </row>
    <row r="82" spans="1:7" x14ac:dyDescent="0.3">
      <c r="A82" s="3">
        <v>80</v>
      </c>
      <c r="B82" s="3">
        <f t="shared" si="4"/>
        <v>118</v>
      </c>
      <c r="C82" s="3">
        <v>200000</v>
      </c>
      <c r="D82" s="3">
        <v>200000</v>
      </c>
      <c r="E82" s="3">
        <v>8</v>
      </c>
      <c r="F82" s="3">
        <v>11863</v>
      </c>
      <c r="G82" s="3">
        <f t="shared" si="3"/>
        <v>188137</v>
      </c>
    </row>
    <row r="83" spans="1:7" x14ac:dyDescent="0.3">
      <c r="A83" s="3">
        <v>81</v>
      </c>
      <c r="B83" s="3">
        <f t="shared" si="4"/>
        <v>118</v>
      </c>
      <c r="C83" s="3">
        <v>160000</v>
      </c>
      <c r="D83" s="3">
        <v>160000</v>
      </c>
      <c r="E83" s="3">
        <v>8</v>
      </c>
      <c r="F83" s="3">
        <v>11981</v>
      </c>
      <c r="G83" s="3">
        <f t="shared" si="3"/>
        <v>148019</v>
      </c>
    </row>
    <row r="84" spans="1:7" x14ac:dyDescent="0.3">
      <c r="A84" s="3">
        <v>82</v>
      </c>
      <c r="B84" s="3">
        <f t="shared" si="4"/>
        <v>118</v>
      </c>
      <c r="C84" s="3">
        <v>3500000</v>
      </c>
      <c r="D84" s="3">
        <v>3500000</v>
      </c>
      <c r="E84" s="3">
        <v>8</v>
      </c>
      <c r="F84" s="3">
        <v>12099</v>
      </c>
      <c r="G84" s="3">
        <f t="shared" si="3"/>
        <v>3487901</v>
      </c>
    </row>
    <row r="85" spans="1:7" x14ac:dyDescent="0.3">
      <c r="A85" s="3">
        <v>83</v>
      </c>
      <c r="B85" s="3">
        <f t="shared" si="4"/>
        <v>118</v>
      </c>
      <c r="C85" s="3">
        <v>1600000</v>
      </c>
      <c r="D85" s="3">
        <v>1600000</v>
      </c>
      <c r="E85" s="3">
        <v>8</v>
      </c>
      <c r="F85" s="3">
        <v>13771</v>
      </c>
      <c r="G85" s="3">
        <f t="shared" si="3"/>
        <v>1586229</v>
      </c>
    </row>
    <row r="86" spans="1:7" x14ac:dyDescent="0.3">
      <c r="A86" s="3">
        <v>84</v>
      </c>
      <c r="B86" s="3">
        <f t="shared" si="4"/>
        <v>118</v>
      </c>
      <c r="C86" s="3">
        <v>400000</v>
      </c>
      <c r="D86" s="3">
        <v>400000</v>
      </c>
      <c r="E86" s="3">
        <v>8</v>
      </c>
      <c r="F86" s="3">
        <v>13889</v>
      </c>
      <c r="G86" s="3">
        <f t="shared" si="3"/>
        <v>386111</v>
      </c>
    </row>
    <row r="87" spans="1:7" x14ac:dyDescent="0.3">
      <c r="A87" s="3">
        <v>85</v>
      </c>
      <c r="B87" s="3">
        <f t="shared" si="4"/>
        <v>118</v>
      </c>
      <c r="C87" s="3">
        <v>400000</v>
      </c>
      <c r="D87" s="3">
        <v>400000</v>
      </c>
      <c r="E87" s="3">
        <v>8</v>
      </c>
      <c r="F87" s="3">
        <v>14007</v>
      </c>
      <c r="G87" s="3">
        <f t="shared" si="3"/>
        <v>385993</v>
      </c>
    </row>
    <row r="88" spans="1:7" x14ac:dyDescent="0.3">
      <c r="A88" s="3">
        <v>86</v>
      </c>
      <c r="B88" s="3">
        <f t="shared" si="4"/>
        <v>103</v>
      </c>
      <c r="C88" s="3">
        <v>250000</v>
      </c>
      <c r="D88" s="3">
        <v>250000</v>
      </c>
      <c r="E88" s="3">
        <v>5</v>
      </c>
      <c r="F88" s="3">
        <v>14364</v>
      </c>
      <c r="G88" s="3">
        <f t="shared" si="3"/>
        <v>235636</v>
      </c>
    </row>
    <row r="89" spans="1:7" x14ac:dyDescent="0.3">
      <c r="A89" s="3">
        <v>87</v>
      </c>
      <c r="B89" s="3">
        <f t="shared" si="4"/>
        <v>118</v>
      </c>
      <c r="C89" s="3">
        <v>250000</v>
      </c>
      <c r="D89" s="3">
        <v>250000</v>
      </c>
      <c r="E89" s="3">
        <v>8</v>
      </c>
      <c r="F89" s="3">
        <v>14482</v>
      </c>
      <c r="G89" s="3">
        <f t="shared" si="3"/>
        <v>235518</v>
      </c>
    </row>
    <row r="90" spans="1:7" x14ac:dyDescent="0.3">
      <c r="A90" s="3">
        <v>88</v>
      </c>
      <c r="B90" s="3">
        <f t="shared" si="4"/>
        <v>118</v>
      </c>
      <c r="C90" s="3">
        <v>250000</v>
      </c>
      <c r="D90" s="3">
        <v>250000</v>
      </c>
      <c r="E90" s="3">
        <v>8</v>
      </c>
      <c r="F90" s="3">
        <v>14600</v>
      </c>
      <c r="G90" s="3">
        <f t="shared" si="3"/>
        <v>235400</v>
      </c>
    </row>
    <row r="91" spans="1:7" x14ac:dyDescent="0.3">
      <c r="A91" s="3">
        <v>89</v>
      </c>
      <c r="B91" s="3">
        <f t="shared" si="4"/>
        <v>108</v>
      </c>
      <c r="C91" s="3">
        <v>1000000</v>
      </c>
      <c r="D91" s="3">
        <v>1000000</v>
      </c>
      <c r="E91" s="3">
        <v>6</v>
      </c>
      <c r="F91" s="3">
        <v>14708</v>
      </c>
      <c r="G91" s="3">
        <f t="shared" si="3"/>
        <v>985292</v>
      </c>
    </row>
    <row r="92" spans="1:7" x14ac:dyDescent="0.3">
      <c r="A92" s="3">
        <v>90</v>
      </c>
      <c r="B92" s="3">
        <f t="shared" si="4"/>
        <v>118</v>
      </c>
      <c r="C92" s="3">
        <v>1000000</v>
      </c>
      <c r="D92" s="3">
        <v>1000000</v>
      </c>
      <c r="E92" s="3">
        <v>8</v>
      </c>
      <c r="F92" s="3">
        <v>14826</v>
      </c>
      <c r="G92" s="3">
        <f t="shared" si="3"/>
        <v>985174</v>
      </c>
    </row>
    <row r="93" spans="1:7" x14ac:dyDescent="0.3">
      <c r="A93" s="3">
        <v>91</v>
      </c>
      <c r="B93" s="3">
        <f t="shared" si="4"/>
        <v>118</v>
      </c>
      <c r="C93" s="3">
        <v>200000</v>
      </c>
      <c r="D93" s="3">
        <v>200000</v>
      </c>
      <c r="E93" s="3">
        <v>8</v>
      </c>
      <c r="F93" s="3">
        <v>14944</v>
      </c>
      <c r="G93" s="3">
        <f t="shared" si="3"/>
        <v>185056</v>
      </c>
    </row>
    <row r="94" spans="1:7" x14ac:dyDescent="0.3">
      <c r="A94" s="3">
        <v>92</v>
      </c>
      <c r="B94" s="3">
        <f t="shared" si="4"/>
        <v>93</v>
      </c>
      <c r="C94" s="3">
        <v>1000000</v>
      </c>
      <c r="D94" s="3">
        <v>1000000</v>
      </c>
      <c r="E94" s="3">
        <v>3</v>
      </c>
      <c r="F94" s="3">
        <v>15037</v>
      </c>
      <c r="G94" s="3">
        <f t="shared" si="3"/>
        <v>984963</v>
      </c>
    </row>
    <row r="95" spans="1:7" x14ac:dyDescent="0.3">
      <c r="A95" s="3">
        <v>93</v>
      </c>
      <c r="B95" s="3">
        <f t="shared" si="4"/>
        <v>108</v>
      </c>
      <c r="C95" s="3">
        <v>500000</v>
      </c>
      <c r="D95" s="3">
        <v>500000</v>
      </c>
      <c r="E95" s="3">
        <v>6</v>
      </c>
      <c r="F95" s="3">
        <v>15439</v>
      </c>
      <c r="G95" s="3">
        <f t="shared" si="3"/>
        <v>484561</v>
      </c>
    </row>
    <row r="96" spans="1:7" x14ac:dyDescent="0.3">
      <c r="A96" s="3">
        <v>94</v>
      </c>
      <c r="B96" s="3">
        <f t="shared" si="4"/>
        <v>98</v>
      </c>
      <c r="C96" s="3">
        <v>500000</v>
      </c>
      <c r="D96" s="3">
        <v>500000</v>
      </c>
      <c r="E96" s="3">
        <v>4</v>
      </c>
      <c r="F96" s="3">
        <v>15537</v>
      </c>
      <c r="G96" s="3">
        <f t="shared" si="3"/>
        <v>484463</v>
      </c>
    </row>
    <row r="97" spans="1:7" x14ac:dyDescent="0.3">
      <c r="A97" s="3">
        <v>95</v>
      </c>
      <c r="B97" s="3">
        <f t="shared" si="4"/>
        <v>138</v>
      </c>
      <c r="C97" s="3">
        <v>500000</v>
      </c>
      <c r="D97" s="3">
        <v>500000</v>
      </c>
      <c r="E97" s="3">
        <v>12</v>
      </c>
      <c r="F97" s="3">
        <v>15655</v>
      </c>
      <c r="G97" s="3">
        <f t="shared" si="3"/>
        <v>484345</v>
      </c>
    </row>
    <row r="98" spans="1:7" x14ac:dyDescent="0.3">
      <c r="A98" s="3">
        <v>96</v>
      </c>
      <c r="B98" s="3">
        <f t="shared" si="4"/>
        <v>113</v>
      </c>
      <c r="C98" s="3">
        <v>1000000</v>
      </c>
      <c r="D98" s="3">
        <v>1000000</v>
      </c>
      <c r="E98" s="3">
        <v>7</v>
      </c>
      <c r="F98" s="3">
        <v>15768</v>
      </c>
      <c r="G98" s="3">
        <f t="shared" si="3"/>
        <v>984232</v>
      </c>
    </row>
    <row r="99" spans="1:7" x14ac:dyDescent="0.3">
      <c r="A99" s="3">
        <v>97</v>
      </c>
      <c r="B99" s="3">
        <f t="shared" si="4"/>
        <v>108</v>
      </c>
      <c r="C99" s="3">
        <v>1000000</v>
      </c>
      <c r="D99" s="3">
        <v>1000000</v>
      </c>
      <c r="E99" s="3">
        <v>6</v>
      </c>
      <c r="F99" s="3">
        <v>15876</v>
      </c>
      <c r="G99" s="3">
        <f t="shared" ref="G99:G108" si="5">C99-F99</f>
        <v>984124</v>
      </c>
    </row>
    <row r="100" spans="1:7" x14ac:dyDescent="0.3">
      <c r="A100" s="3">
        <v>98</v>
      </c>
      <c r="B100" s="3">
        <f t="shared" si="4"/>
        <v>93</v>
      </c>
      <c r="C100" s="3">
        <v>1000000</v>
      </c>
      <c r="D100" s="3">
        <v>1000000</v>
      </c>
      <c r="E100" s="3">
        <v>3</v>
      </c>
      <c r="F100" s="3">
        <v>15969</v>
      </c>
      <c r="G100" s="3">
        <f t="shared" si="5"/>
        <v>984031</v>
      </c>
    </row>
    <row r="101" spans="1:7" x14ac:dyDescent="0.3">
      <c r="A101" s="3">
        <v>99</v>
      </c>
      <c r="B101" s="3">
        <f t="shared" si="4"/>
        <v>103</v>
      </c>
      <c r="C101" s="3">
        <v>1000000</v>
      </c>
      <c r="D101" s="3">
        <v>1000000</v>
      </c>
      <c r="E101" s="3">
        <v>5</v>
      </c>
      <c r="F101" s="3">
        <v>16072</v>
      </c>
      <c r="G101" s="3">
        <f t="shared" si="5"/>
        <v>983928</v>
      </c>
    </row>
    <row r="102" spans="1:7" x14ac:dyDescent="0.3">
      <c r="A102" s="3">
        <v>100</v>
      </c>
      <c r="B102" s="3">
        <f t="shared" si="4"/>
        <v>98</v>
      </c>
      <c r="C102" s="3">
        <v>1000000</v>
      </c>
      <c r="D102" s="3">
        <v>1000000</v>
      </c>
      <c r="E102" s="3">
        <v>4</v>
      </c>
      <c r="F102" s="3">
        <v>16424</v>
      </c>
      <c r="G102" s="3">
        <f t="shared" si="5"/>
        <v>983576</v>
      </c>
    </row>
    <row r="103" spans="1:7" x14ac:dyDescent="0.3">
      <c r="A103" s="3">
        <v>101</v>
      </c>
      <c r="B103" s="3">
        <f t="shared" si="4"/>
        <v>88</v>
      </c>
      <c r="C103" s="3">
        <v>1000000</v>
      </c>
      <c r="D103" s="3">
        <v>1000000</v>
      </c>
      <c r="E103" s="3">
        <v>2</v>
      </c>
      <c r="F103" s="3">
        <v>16512</v>
      </c>
      <c r="G103" s="3">
        <f t="shared" si="5"/>
        <v>983488</v>
      </c>
    </row>
    <row r="104" spans="1:7" x14ac:dyDescent="0.3">
      <c r="A104" s="3">
        <v>102</v>
      </c>
      <c r="B104" s="3">
        <f t="shared" si="4"/>
        <v>103</v>
      </c>
      <c r="C104" s="3">
        <v>1000000</v>
      </c>
      <c r="D104" s="3">
        <v>1000000</v>
      </c>
      <c r="E104" s="3">
        <v>5</v>
      </c>
      <c r="F104" s="3">
        <v>16615</v>
      </c>
      <c r="G104" s="3">
        <f t="shared" si="5"/>
        <v>983385</v>
      </c>
    </row>
    <row r="105" spans="1:7" x14ac:dyDescent="0.3">
      <c r="A105" s="3">
        <v>103</v>
      </c>
      <c r="B105" s="3">
        <f t="shared" si="4"/>
        <v>108</v>
      </c>
      <c r="C105" s="3">
        <v>1000000</v>
      </c>
      <c r="D105" s="3">
        <v>1000000</v>
      </c>
      <c r="E105" s="3">
        <v>6</v>
      </c>
      <c r="F105" s="3">
        <v>16723</v>
      </c>
      <c r="G105" s="3">
        <f t="shared" si="5"/>
        <v>983277</v>
      </c>
    </row>
    <row r="106" spans="1:7" x14ac:dyDescent="0.3">
      <c r="A106" s="3">
        <v>104</v>
      </c>
      <c r="B106" s="3">
        <f t="shared" si="4"/>
        <v>118</v>
      </c>
      <c r="C106" s="3">
        <v>800000</v>
      </c>
      <c r="D106" s="3">
        <v>800000</v>
      </c>
      <c r="E106" s="3">
        <v>8</v>
      </c>
      <c r="F106" s="3">
        <v>16841</v>
      </c>
      <c r="G106" s="3">
        <f t="shared" si="5"/>
        <v>783159</v>
      </c>
    </row>
    <row r="107" spans="1:7" x14ac:dyDescent="0.3">
      <c r="A107" s="3">
        <v>105</v>
      </c>
      <c r="B107" s="3">
        <f t="shared" si="4"/>
        <v>118</v>
      </c>
      <c r="C107" s="3">
        <v>1600000</v>
      </c>
      <c r="D107" s="3">
        <v>1600000</v>
      </c>
      <c r="E107" s="3">
        <v>8</v>
      </c>
      <c r="F107" s="3">
        <v>16959</v>
      </c>
      <c r="G107" s="3">
        <f t="shared" si="5"/>
        <v>1583041</v>
      </c>
    </row>
    <row r="108" spans="1:7" x14ac:dyDescent="0.3">
      <c r="A108" s="3">
        <v>106</v>
      </c>
      <c r="B108" s="3">
        <f t="shared" si="4"/>
        <v>118</v>
      </c>
      <c r="C108" s="3">
        <v>200000</v>
      </c>
      <c r="D108" s="3">
        <v>200000</v>
      </c>
      <c r="E108" s="3">
        <v>8</v>
      </c>
      <c r="F108" s="3">
        <v>16959</v>
      </c>
      <c r="G108" s="3">
        <f t="shared" si="5"/>
        <v>183041</v>
      </c>
    </row>
  </sheetData>
  <mergeCells count="1">
    <mergeCell ref="A1:G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F57B-ECFA-403F-A2DC-7B9427DD1F7A}">
  <dimension ref="A1:G41"/>
  <sheetViews>
    <sheetView workbookViewId="0">
      <selection activeCell="E37" sqref="E37"/>
    </sheetView>
  </sheetViews>
  <sheetFormatPr defaultRowHeight="14" x14ac:dyDescent="0.3"/>
  <cols>
    <col min="2" max="2" width="19" customWidth="1"/>
    <col min="3" max="3" width="10.08203125" customWidth="1"/>
    <col min="4" max="4" width="10.83203125" customWidth="1"/>
    <col min="5" max="5" width="16.9140625" customWidth="1"/>
  </cols>
  <sheetData>
    <row r="1" spans="1:7" x14ac:dyDescent="0.3">
      <c r="A1" s="6" t="s">
        <v>6</v>
      </c>
      <c r="B1" s="6"/>
      <c r="C1" s="6"/>
      <c r="D1" s="6"/>
      <c r="E1" s="6"/>
      <c r="F1" s="6"/>
      <c r="G1" s="6"/>
    </row>
    <row r="2" spans="1:7" x14ac:dyDescent="0.3">
      <c r="A2" s="1" t="s">
        <v>1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4</v>
      </c>
      <c r="G2" s="2" t="s">
        <v>5</v>
      </c>
    </row>
    <row r="3" spans="1:7" x14ac:dyDescent="0.3">
      <c r="A3" s="3">
        <v>1</v>
      </c>
      <c r="B3" s="3">
        <f>IF(E3&lt;=16,32*2+(28+10*E3)*0.2,32*2+(33+10*E3)*0.2)</f>
        <v>73.599999999999994</v>
      </c>
      <c r="C3" s="3">
        <v>2000</v>
      </c>
      <c r="D3" s="3">
        <v>2000</v>
      </c>
      <c r="E3" s="3">
        <v>2</v>
      </c>
      <c r="F3" s="3">
        <v>271</v>
      </c>
      <c r="G3" s="3">
        <f t="shared" ref="G3:G41" si="0">C3-F3</f>
        <v>1729</v>
      </c>
    </row>
    <row r="4" spans="1:7" x14ac:dyDescent="0.3">
      <c r="A4" s="3">
        <v>2</v>
      </c>
      <c r="B4" s="3">
        <f t="shared" ref="B4:B10" si="1">IF(E4&lt;=16,32*2+(28+10*E4)*0.2,32*2+(33+10*E4)*0.2)</f>
        <v>71.599999999999994</v>
      </c>
      <c r="C4" s="3">
        <v>2000</v>
      </c>
      <c r="D4" s="3">
        <v>2000</v>
      </c>
      <c r="E4" s="3">
        <v>1</v>
      </c>
      <c r="F4" s="3">
        <v>342</v>
      </c>
      <c r="G4" s="3">
        <f t="shared" si="0"/>
        <v>1658</v>
      </c>
    </row>
    <row r="5" spans="1:7" x14ac:dyDescent="0.3">
      <c r="A5" s="3">
        <v>3</v>
      </c>
      <c r="B5" s="3">
        <f t="shared" si="1"/>
        <v>71.599999999999994</v>
      </c>
      <c r="C5" s="3">
        <v>2000</v>
      </c>
      <c r="D5" s="3">
        <v>2000</v>
      </c>
      <c r="E5" s="3">
        <v>1</v>
      </c>
      <c r="F5" s="3">
        <v>413</v>
      </c>
      <c r="G5" s="3">
        <f t="shared" si="0"/>
        <v>1587</v>
      </c>
    </row>
    <row r="6" spans="1:7" x14ac:dyDescent="0.3">
      <c r="A6" s="3">
        <v>4</v>
      </c>
      <c r="B6" s="3">
        <f t="shared" si="1"/>
        <v>73.599999999999994</v>
      </c>
      <c r="C6" s="3">
        <v>2000</v>
      </c>
      <c r="D6" s="3">
        <v>2000</v>
      </c>
      <c r="E6" s="3">
        <v>2</v>
      </c>
      <c r="F6" s="3">
        <v>486</v>
      </c>
      <c r="G6" s="3">
        <f t="shared" si="0"/>
        <v>1514</v>
      </c>
    </row>
    <row r="7" spans="1:7" x14ac:dyDescent="0.3">
      <c r="A7" s="3">
        <v>5</v>
      </c>
      <c r="B7" s="3">
        <f t="shared" si="1"/>
        <v>75.599999999999994</v>
      </c>
      <c r="C7" s="3">
        <v>3000</v>
      </c>
      <c r="D7" s="3">
        <v>3000</v>
      </c>
      <c r="E7" s="3">
        <v>3</v>
      </c>
      <c r="F7" s="3">
        <v>561</v>
      </c>
      <c r="G7" s="3">
        <f t="shared" si="0"/>
        <v>2439</v>
      </c>
    </row>
    <row r="8" spans="1:7" x14ac:dyDescent="0.3">
      <c r="A8" s="3">
        <v>6</v>
      </c>
      <c r="B8" s="3">
        <f t="shared" si="1"/>
        <v>73.599999999999994</v>
      </c>
      <c r="C8" s="3">
        <v>3000</v>
      </c>
      <c r="D8" s="3">
        <v>3000</v>
      </c>
      <c r="E8" s="3">
        <v>2</v>
      </c>
      <c r="F8" s="3">
        <v>634</v>
      </c>
      <c r="G8" s="3">
        <f t="shared" si="0"/>
        <v>2366</v>
      </c>
    </row>
    <row r="9" spans="1:7" x14ac:dyDescent="0.3">
      <c r="A9" s="3">
        <v>7</v>
      </c>
      <c r="B9" s="3">
        <f t="shared" si="1"/>
        <v>73.599999999999994</v>
      </c>
      <c r="C9" s="3">
        <v>3000</v>
      </c>
      <c r="D9" s="3">
        <v>3000</v>
      </c>
      <c r="E9" s="3">
        <v>2</v>
      </c>
      <c r="F9" s="3">
        <v>707</v>
      </c>
      <c r="G9" s="3">
        <f t="shared" si="0"/>
        <v>2293</v>
      </c>
    </row>
    <row r="10" spans="1:7" x14ac:dyDescent="0.3">
      <c r="A10" s="3">
        <v>8</v>
      </c>
      <c r="B10" s="3">
        <f t="shared" si="1"/>
        <v>71.599999999999994</v>
      </c>
      <c r="C10" s="3">
        <v>3000</v>
      </c>
      <c r="D10" s="3">
        <v>3000</v>
      </c>
      <c r="E10" s="3">
        <v>1</v>
      </c>
      <c r="F10" s="3">
        <v>778</v>
      </c>
      <c r="G10" s="3">
        <f t="shared" si="0"/>
        <v>2222</v>
      </c>
    </row>
    <row r="11" spans="1:7" x14ac:dyDescent="0.3">
      <c r="A11" s="3">
        <v>9</v>
      </c>
      <c r="B11" s="3">
        <f>IF(E11&lt;=16,32*2+(28+10*E11)*0.2,32*2+(33+10*E11)*0.2)</f>
        <v>71.599999999999994</v>
      </c>
      <c r="C11" s="3">
        <v>3000</v>
      </c>
      <c r="D11" s="3">
        <v>3000</v>
      </c>
      <c r="E11" s="3">
        <v>1</v>
      </c>
      <c r="F11" s="3">
        <v>849</v>
      </c>
      <c r="G11" s="3">
        <f t="shared" si="0"/>
        <v>2151</v>
      </c>
    </row>
    <row r="12" spans="1:7" x14ac:dyDescent="0.3">
      <c r="A12" s="3">
        <v>10</v>
      </c>
      <c r="B12" s="3">
        <f>IF(E12&lt;=16,32*2+(28+10*E12)*0.2,32*2+(33+10*E12)*0.2)</f>
        <v>77.599999999999994</v>
      </c>
      <c r="C12" s="3">
        <v>4000</v>
      </c>
      <c r="D12" s="3">
        <v>4000</v>
      </c>
      <c r="E12" s="3">
        <v>4</v>
      </c>
      <c r="F12" s="3">
        <v>926</v>
      </c>
      <c r="G12" s="3">
        <f t="shared" si="0"/>
        <v>3074</v>
      </c>
    </row>
    <row r="13" spans="1:7" x14ac:dyDescent="0.3">
      <c r="A13" s="3">
        <v>11</v>
      </c>
      <c r="B13" s="3">
        <f t="shared" ref="B13:B41" si="2">IF(E13&lt;=16,32*2+(28+10*E13)*0.2,32*2+(33+10*E13)*0.2)</f>
        <v>77.599999999999994</v>
      </c>
      <c r="C13" s="3">
        <v>4000</v>
      </c>
      <c r="D13" s="3">
        <v>4000</v>
      </c>
      <c r="E13" s="3">
        <v>4</v>
      </c>
      <c r="F13" s="3">
        <v>1003</v>
      </c>
      <c r="G13" s="3">
        <f t="shared" si="0"/>
        <v>2997</v>
      </c>
    </row>
    <row r="14" spans="1:7" x14ac:dyDescent="0.3">
      <c r="A14" s="3">
        <v>12</v>
      </c>
      <c r="B14" s="3">
        <f t="shared" si="2"/>
        <v>73.599999999999994</v>
      </c>
      <c r="C14" s="3">
        <v>4000</v>
      </c>
      <c r="D14" s="3">
        <v>4000</v>
      </c>
      <c r="E14" s="3">
        <v>2</v>
      </c>
      <c r="F14" s="3">
        <v>1076</v>
      </c>
      <c r="G14" s="3">
        <f t="shared" si="0"/>
        <v>2924</v>
      </c>
    </row>
    <row r="15" spans="1:7" x14ac:dyDescent="0.3">
      <c r="A15" s="3">
        <v>13</v>
      </c>
      <c r="B15" s="3">
        <f t="shared" si="2"/>
        <v>71.599999999999994</v>
      </c>
      <c r="C15" s="3">
        <v>4000</v>
      </c>
      <c r="D15" s="3">
        <v>4000</v>
      </c>
      <c r="E15" s="3">
        <v>1</v>
      </c>
      <c r="F15" s="3">
        <v>1147</v>
      </c>
      <c r="G15" s="3">
        <f t="shared" si="0"/>
        <v>2853</v>
      </c>
    </row>
    <row r="16" spans="1:7" x14ac:dyDescent="0.3">
      <c r="A16" s="3">
        <v>14</v>
      </c>
      <c r="B16" s="3">
        <f t="shared" si="2"/>
        <v>73.599999999999994</v>
      </c>
      <c r="C16" s="3">
        <v>4000</v>
      </c>
      <c r="D16" s="3">
        <v>4000</v>
      </c>
      <c r="E16" s="3">
        <v>2</v>
      </c>
      <c r="F16" s="3">
        <v>1220</v>
      </c>
      <c r="G16" s="3">
        <f t="shared" si="0"/>
        <v>2780</v>
      </c>
    </row>
    <row r="17" spans="1:7" x14ac:dyDescent="0.3">
      <c r="A17" s="3">
        <v>15</v>
      </c>
      <c r="B17" s="3">
        <f t="shared" si="2"/>
        <v>77.599999999999994</v>
      </c>
      <c r="C17" s="3">
        <v>5000</v>
      </c>
      <c r="D17" s="3">
        <v>5000</v>
      </c>
      <c r="E17" s="3">
        <v>4</v>
      </c>
      <c r="F17" s="3">
        <v>1297</v>
      </c>
      <c r="G17" s="3">
        <f t="shared" si="0"/>
        <v>3703</v>
      </c>
    </row>
    <row r="18" spans="1:7" x14ac:dyDescent="0.3">
      <c r="A18" s="3">
        <v>16</v>
      </c>
      <c r="B18" s="3">
        <f t="shared" si="2"/>
        <v>77.599999999999994</v>
      </c>
      <c r="C18" s="3">
        <v>5000</v>
      </c>
      <c r="D18" s="3">
        <v>5000</v>
      </c>
      <c r="E18" s="3">
        <v>4</v>
      </c>
      <c r="F18" s="3">
        <v>1374</v>
      </c>
      <c r="G18" s="3">
        <f t="shared" si="0"/>
        <v>3626</v>
      </c>
    </row>
    <row r="19" spans="1:7" x14ac:dyDescent="0.3">
      <c r="A19" s="3">
        <v>17</v>
      </c>
      <c r="B19" s="3">
        <f t="shared" si="2"/>
        <v>79.599999999999994</v>
      </c>
      <c r="C19" s="3">
        <v>5000</v>
      </c>
      <c r="D19" s="3">
        <v>5000</v>
      </c>
      <c r="E19" s="3">
        <v>5</v>
      </c>
      <c r="F19" s="3">
        <v>1453</v>
      </c>
      <c r="G19" s="3">
        <f t="shared" si="0"/>
        <v>3547</v>
      </c>
    </row>
    <row r="20" spans="1:7" x14ac:dyDescent="0.3">
      <c r="A20" s="3">
        <v>18</v>
      </c>
      <c r="B20" s="3">
        <f t="shared" si="2"/>
        <v>81.599999999999994</v>
      </c>
      <c r="C20" s="3">
        <v>5000</v>
      </c>
      <c r="D20" s="3">
        <v>5000</v>
      </c>
      <c r="E20" s="3">
        <v>6</v>
      </c>
      <c r="F20" s="3">
        <v>1534</v>
      </c>
      <c r="G20" s="3">
        <f t="shared" si="0"/>
        <v>3466</v>
      </c>
    </row>
    <row r="21" spans="1:7" x14ac:dyDescent="0.3">
      <c r="A21" s="3">
        <v>19</v>
      </c>
      <c r="B21" s="3">
        <f t="shared" si="2"/>
        <v>81.599999999999994</v>
      </c>
      <c r="C21" s="3">
        <v>5000</v>
      </c>
      <c r="D21" s="3">
        <v>5000</v>
      </c>
      <c r="E21" s="3">
        <v>6</v>
      </c>
      <c r="F21" s="3">
        <v>1615</v>
      </c>
      <c r="G21" s="3">
        <f t="shared" si="0"/>
        <v>3385</v>
      </c>
    </row>
    <row r="22" spans="1:7" x14ac:dyDescent="0.3">
      <c r="A22" s="3">
        <v>20</v>
      </c>
      <c r="B22" s="3">
        <f t="shared" si="2"/>
        <v>73.599999999999994</v>
      </c>
      <c r="C22" s="3">
        <v>6000</v>
      </c>
      <c r="D22" s="3">
        <v>6000</v>
      </c>
      <c r="E22" s="3">
        <v>2</v>
      </c>
      <c r="F22" s="3">
        <v>1688</v>
      </c>
      <c r="G22" s="3">
        <f t="shared" si="0"/>
        <v>4312</v>
      </c>
    </row>
    <row r="23" spans="1:7" x14ac:dyDescent="0.3">
      <c r="A23" s="3">
        <v>21</v>
      </c>
      <c r="B23" s="3">
        <f t="shared" si="2"/>
        <v>79.599999999999994</v>
      </c>
      <c r="C23" s="3">
        <v>6000</v>
      </c>
      <c r="D23" s="3">
        <v>6000</v>
      </c>
      <c r="E23" s="3">
        <v>5</v>
      </c>
      <c r="F23" s="3">
        <v>1767</v>
      </c>
      <c r="G23" s="3">
        <f t="shared" si="0"/>
        <v>4233</v>
      </c>
    </row>
    <row r="24" spans="1:7" x14ac:dyDescent="0.3">
      <c r="A24" s="3">
        <v>22</v>
      </c>
      <c r="B24" s="3">
        <f t="shared" si="2"/>
        <v>81.599999999999994</v>
      </c>
      <c r="C24" s="3">
        <v>6000</v>
      </c>
      <c r="D24" s="3">
        <v>6000</v>
      </c>
      <c r="E24" s="3">
        <v>6</v>
      </c>
      <c r="F24" s="3">
        <v>1848</v>
      </c>
      <c r="G24" s="3">
        <f t="shared" si="0"/>
        <v>4152</v>
      </c>
    </row>
    <row r="25" spans="1:7" x14ac:dyDescent="0.3">
      <c r="A25" s="3">
        <v>23</v>
      </c>
      <c r="B25" s="3">
        <f t="shared" si="2"/>
        <v>77.599999999999994</v>
      </c>
      <c r="C25" s="3">
        <v>6000</v>
      </c>
      <c r="D25" s="3">
        <v>6000</v>
      </c>
      <c r="E25" s="3">
        <v>4</v>
      </c>
      <c r="F25" s="3">
        <v>1925</v>
      </c>
      <c r="G25" s="3">
        <f t="shared" si="0"/>
        <v>4075</v>
      </c>
    </row>
    <row r="26" spans="1:7" x14ac:dyDescent="0.3">
      <c r="A26" s="3">
        <v>24</v>
      </c>
      <c r="B26" s="3">
        <f t="shared" si="2"/>
        <v>75.599999999999994</v>
      </c>
      <c r="C26" s="3">
        <v>6000</v>
      </c>
      <c r="D26" s="3">
        <v>6000</v>
      </c>
      <c r="E26" s="3">
        <v>3</v>
      </c>
      <c r="F26" s="3">
        <v>2000</v>
      </c>
      <c r="G26" s="3">
        <f t="shared" si="0"/>
        <v>4000</v>
      </c>
    </row>
    <row r="27" spans="1:7" x14ac:dyDescent="0.3">
      <c r="A27" s="3">
        <v>25</v>
      </c>
      <c r="B27" s="3">
        <f t="shared" si="2"/>
        <v>83.6</v>
      </c>
      <c r="C27" s="3">
        <v>8000</v>
      </c>
      <c r="D27" s="3">
        <v>8000</v>
      </c>
      <c r="E27" s="3">
        <v>7</v>
      </c>
      <c r="F27" s="3">
        <v>2371</v>
      </c>
      <c r="G27" s="3">
        <f t="shared" si="0"/>
        <v>5629</v>
      </c>
    </row>
    <row r="28" spans="1:7" x14ac:dyDescent="0.3">
      <c r="A28" s="3">
        <v>26</v>
      </c>
      <c r="B28" s="3">
        <f t="shared" si="2"/>
        <v>79.599999999999994</v>
      </c>
      <c r="C28" s="3">
        <v>8000</v>
      </c>
      <c r="D28" s="3">
        <v>8000</v>
      </c>
      <c r="E28" s="3">
        <v>5</v>
      </c>
      <c r="F28" s="3">
        <v>2450</v>
      </c>
      <c r="G28" s="3">
        <f t="shared" si="0"/>
        <v>5550</v>
      </c>
    </row>
    <row r="29" spans="1:7" x14ac:dyDescent="0.3">
      <c r="A29" s="3">
        <v>27</v>
      </c>
      <c r="B29" s="3">
        <f t="shared" si="2"/>
        <v>77.599999999999994</v>
      </c>
      <c r="C29" s="3">
        <v>8000</v>
      </c>
      <c r="D29" s="3">
        <v>8000</v>
      </c>
      <c r="E29" s="3">
        <v>4</v>
      </c>
      <c r="F29" s="3">
        <v>2527</v>
      </c>
      <c r="G29" s="3">
        <f t="shared" si="0"/>
        <v>5473</v>
      </c>
    </row>
    <row r="30" spans="1:7" x14ac:dyDescent="0.3">
      <c r="A30" s="3">
        <v>28</v>
      </c>
      <c r="B30" s="3">
        <f t="shared" si="2"/>
        <v>77.599999999999994</v>
      </c>
      <c r="C30" s="3">
        <v>10000</v>
      </c>
      <c r="D30" s="3">
        <v>10000</v>
      </c>
      <c r="E30" s="3">
        <v>4</v>
      </c>
      <c r="F30" s="3">
        <v>2604</v>
      </c>
      <c r="G30" s="3">
        <f t="shared" si="0"/>
        <v>7396</v>
      </c>
    </row>
    <row r="31" spans="1:7" x14ac:dyDescent="0.3">
      <c r="A31" s="3">
        <v>29</v>
      </c>
      <c r="B31" s="3">
        <f t="shared" si="2"/>
        <v>79.599999999999994</v>
      </c>
      <c r="C31" s="3">
        <v>10000</v>
      </c>
      <c r="D31" s="3">
        <v>10000</v>
      </c>
      <c r="E31" s="3">
        <v>5</v>
      </c>
      <c r="F31" s="3">
        <v>2683</v>
      </c>
      <c r="G31" s="3">
        <f t="shared" si="0"/>
        <v>7317</v>
      </c>
    </row>
    <row r="32" spans="1:7" x14ac:dyDescent="0.3">
      <c r="A32" s="3">
        <v>30</v>
      </c>
      <c r="B32" s="3">
        <f t="shared" si="2"/>
        <v>81.599999999999994</v>
      </c>
      <c r="C32" s="3">
        <v>10000</v>
      </c>
      <c r="D32" s="3">
        <v>10000</v>
      </c>
      <c r="E32" s="3">
        <v>6</v>
      </c>
      <c r="F32" s="3">
        <v>2764</v>
      </c>
      <c r="G32" s="3">
        <f t="shared" si="0"/>
        <v>7236</v>
      </c>
    </row>
    <row r="33" spans="1:7" x14ac:dyDescent="0.3">
      <c r="A33" s="3">
        <v>31</v>
      </c>
      <c r="B33" s="3">
        <f t="shared" si="2"/>
        <v>85.6</v>
      </c>
      <c r="C33" s="3">
        <v>15000</v>
      </c>
      <c r="D33" s="3">
        <v>15000</v>
      </c>
      <c r="E33" s="3">
        <v>8</v>
      </c>
      <c r="F33" s="3">
        <v>2849</v>
      </c>
      <c r="G33" s="3">
        <f t="shared" si="0"/>
        <v>12151</v>
      </c>
    </row>
    <row r="34" spans="1:7" x14ac:dyDescent="0.3">
      <c r="A34" s="3">
        <v>32</v>
      </c>
      <c r="B34" s="3">
        <f t="shared" si="2"/>
        <v>77.599999999999994</v>
      </c>
      <c r="C34" s="3">
        <v>15000</v>
      </c>
      <c r="D34" s="3">
        <v>15000</v>
      </c>
      <c r="E34" s="3">
        <v>4</v>
      </c>
      <c r="F34" s="3">
        <v>2926</v>
      </c>
      <c r="G34" s="3">
        <f t="shared" si="0"/>
        <v>12074</v>
      </c>
    </row>
    <row r="35" spans="1:7" x14ac:dyDescent="0.3">
      <c r="A35" s="3">
        <v>33</v>
      </c>
      <c r="B35" s="3">
        <f t="shared" si="2"/>
        <v>93.6</v>
      </c>
      <c r="C35" s="3">
        <v>20000</v>
      </c>
      <c r="D35" s="3">
        <v>20000</v>
      </c>
      <c r="E35" s="3">
        <v>12</v>
      </c>
      <c r="F35" s="3">
        <v>3019</v>
      </c>
      <c r="G35" s="3">
        <f t="shared" si="0"/>
        <v>16981</v>
      </c>
    </row>
    <row r="36" spans="1:7" x14ac:dyDescent="0.3">
      <c r="A36" s="3">
        <v>34</v>
      </c>
      <c r="B36" s="3">
        <f t="shared" si="2"/>
        <v>101.6</v>
      </c>
      <c r="C36" s="3">
        <v>20000</v>
      </c>
      <c r="D36" s="3">
        <v>20000</v>
      </c>
      <c r="E36" s="3">
        <v>16</v>
      </c>
      <c r="F36" s="3">
        <v>3483</v>
      </c>
      <c r="G36" s="3">
        <f t="shared" si="0"/>
        <v>16517</v>
      </c>
    </row>
    <row r="37" spans="1:7" x14ac:dyDescent="0.3">
      <c r="A37" s="3">
        <v>35</v>
      </c>
      <c r="B37" s="3">
        <f t="shared" si="2"/>
        <v>101.6</v>
      </c>
      <c r="C37" s="3">
        <v>20000</v>
      </c>
      <c r="D37" s="3">
        <v>20000</v>
      </c>
      <c r="E37" s="3">
        <v>16</v>
      </c>
      <c r="F37" s="3">
        <v>3584</v>
      </c>
      <c r="G37" s="3">
        <f t="shared" si="0"/>
        <v>16416</v>
      </c>
    </row>
    <row r="38" spans="1:7" x14ac:dyDescent="0.3">
      <c r="A38" s="3">
        <v>36</v>
      </c>
      <c r="B38" s="3">
        <f t="shared" si="2"/>
        <v>101.6</v>
      </c>
      <c r="C38" s="3">
        <v>50000</v>
      </c>
      <c r="D38" s="3">
        <v>50000</v>
      </c>
      <c r="E38" s="3">
        <v>16</v>
      </c>
      <c r="F38" s="3">
        <v>3685</v>
      </c>
      <c r="G38" s="3">
        <f t="shared" si="0"/>
        <v>46315</v>
      </c>
    </row>
    <row r="39" spans="1:7" x14ac:dyDescent="0.3">
      <c r="A39" s="3">
        <v>37</v>
      </c>
      <c r="B39" s="3">
        <f t="shared" si="2"/>
        <v>118.6</v>
      </c>
      <c r="C39" s="3">
        <v>50000</v>
      </c>
      <c r="D39" s="3">
        <v>50000</v>
      </c>
      <c r="E39" s="3">
        <v>24</v>
      </c>
      <c r="F39" s="3">
        <v>3803</v>
      </c>
      <c r="G39" s="3">
        <f t="shared" si="0"/>
        <v>46197</v>
      </c>
    </row>
    <row r="40" spans="1:7" x14ac:dyDescent="0.3">
      <c r="A40" s="3">
        <v>38</v>
      </c>
      <c r="B40" s="3">
        <f t="shared" si="2"/>
        <v>134.60000000000002</v>
      </c>
      <c r="C40" s="3">
        <v>50000</v>
      </c>
      <c r="D40" s="3">
        <v>50000</v>
      </c>
      <c r="E40" s="3">
        <v>32</v>
      </c>
      <c r="F40" s="3">
        <v>3937</v>
      </c>
      <c r="G40" s="3">
        <f t="shared" si="0"/>
        <v>46063</v>
      </c>
    </row>
    <row r="41" spans="1:7" x14ac:dyDescent="0.3">
      <c r="A41" s="3">
        <v>39</v>
      </c>
      <c r="B41" s="3">
        <f t="shared" si="2"/>
        <v>198.6</v>
      </c>
      <c r="C41" s="3">
        <v>100000</v>
      </c>
      <c r="D41" s="3">
        <v>100000</v>
      </c>
      <c r="E41" s="3">
        <v>64</v>
      </c>
      <c r="F41" s="3">
        <v>3937</v>
      </c>
      <c r="G41" s="3">
        <f t="shared" si="0"/>
        <v>96063</v>
      </c>
    </row>
  </sheetData>
  <mergeCells count="1">
    <mergeCell ref="A1:G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Dataset(merged)</vt:lpstr>
      <vt:lpstr>CAN1-500K</vt:lpstr>
      <vt:lpstr>CAN2-2M</vt:lpstr>
      <vt:lpstr>CAN3-2M</vt:lpstr>
      <vt:lpstr>CAN4-5M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童迎鹏</dc:creator>
  <cp:lastModifiedBy>童迎鹏</cp:lastModifiedBy>
  <dcterms:created xsi:type="dcterms:W3CDTF">2025-10-17T07:25:23Z</dcterms:created>
  <dcterms:modified xsi:type="dcterms:W3CDTF">2025-12-29T02:49:56Z</dcterms:modified>
</cp:coreProperties>
</file>